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ente Claude\AgenteQA-registros-externos\twygo-agents-qa\agent-at\docs\"/>
    </mc:Choice>
  </mc:AlternateContent>
  <xr:revisionPtr revIDLastSave="0" documentId="13_ncr:1_{0AAD142D-6FD1-4EE1-9C30-7FCC47A94027}" xr6:coauthVersionLast="47" xr6:coauthVersionMax="47" xr10:uidLastSave="{00000000-0000-0000-0000-000000000000}"/>
  <bookViews>
    <workbookView xWindow="-108" yWindow="-108" windowWidth="23256" windowHeight="12456" firstSheet="1" activeTab="1" xr2:uid="{58D5D17A-7398-4BA8-A727-3D68204A90FA}"/>
  </bookViews>
  <sheets>
    <sheet name="produto" sheetId="2" r:id="rId1"/>
    <sheet name="dev-qa" sheetId="1" r:id="rId2"/>
    <sheet name=".csv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3" l="1"/>
  <c r="F3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F2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A29" i="3"/>
  <c r="B29" i="3"/>
  <c r="C29" i="3"/>
  <c r="D29" i="3"/>
  <c r="E29" i="3"/>
  <c r="J29" i="3"/>
  <c r="K29" i="3"/>
  <c r="A30" i="3"/>
  <c r="B30" i="3"/>
  <c r="C30" i="3"/>
  <c r="D30" i="3"/>
  <c r="E30" i="3"/>
  <c r="J30" i="3"/>
  <c r="K30" i="3"/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3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3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31" i="3"/>
  <c r="D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3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3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1" i="3"/>
  <c r="D2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31" i="3"/>
  <c r="G27" i="3"/>
  <c r="G31" i="3" l="1"/>
  <c r="G28" i="3"/>
  <c r="G29" i="3"/>
  <c r="G3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tc={33F74893-4B54-4460-A2FA-1412C3CF853A}</author>
    <author>tc={9EFF9E12-15F0-4B6B-89E2-91B9FEF11A17}</author>
    <author>tc={B500FD23-48B1-4AD4-95C1-8F3049AF9311}</author>
  </authors>
  <commentList>
    <comment ref="G2" authorId="0" shapeId="0" xr:uid="{33F74893-4B54-4460-A2FA-1412C3CF853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Backlog
Backlog Programado
Não iniciado
Triagem</t>
        </r>
      </text>
    </comment>
    <comment ref="H2" authorId="1" shapeId="0" xr:uid="{9EFF9E12-15F0-4B6B-89E2-91B9FEF11A1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Nome da funcionalidade 
IGUAL no Artia</t>
        </r>
      </text>
    </comment>
    <comment ref="I2" authorId="2" shapeId="0" xr:uid="{B500FD23-48B1-4AD4-95C1-8F3049AF9311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Nome da Sub-funcionalidade 
IGUAL no Artia
</t>
        </r>
      </text>
    </comment>
  </commentList>
</comments>
</file>

<file path=xl/sharedStrings.xml><?xml version="1.0" encoding="utf-8"?>
<sst xmlns="http://schemas.openxmlformats.org/spreadsheetml/2006/main" count="150" uniqueCount="107">
  <si>
    <t>Tipo de atividade</t>
  </si>
  <si>
    <t>Responsável</t>
  </si>
  <si>
    <t>Projeto</t>
  </si>
  <si>
    <t>account_id</t>
  </si>
  <si>
    <t>folder_id</t>
  </si>
  <si>
    <t>Situação da atividade</t>
  </si>
  <si>
    <t>Funcionalidade</t>
  </si>
  <si>
    <t>Sub-funcionalidade</t>
  </si>
  <si>
    <t>Análise de testes</t>
  </si>
  <si>
    <t>Adri</t>
  </si>
  <si>
    <t xml:space="preserve">[Kit de marca] </t>
  </si>
  <si>
    <t>Backlog</t>
  </si>
  <si>
    <t>Twygo</t>
  </si>
  <si>
    <t>Automação de testes</t>
  </si>
  <si>
    <t>Alexandre</t>
  </si>
  <si>
    <t>Bug produção</t>
  </si>
  <si>
    <t>Amauri</t>
  </si>
  <si>
    <t>Link documentação</t>
  </si>
  <si>
    <r>
      <rPr>
        <u/>
        <sz val="11"/>
        <color rgb="FF0563C1"/>
        <rFont val="Calibri"/>
        <family val="2"/>
        <scheme val="minor"/>
      </rPr>
      <t xml:space="preserve">https://twygoead.sharepoint.com/:w:/s/Twygo-TeamHub-GPRODUTO/IQBtS8M3bjYRR47BcH1n1ZihAUpEkCl2nhrgXlxUAmU47Zk?e=73Y5Ua
</t>
    </r>
    <r>
      <rPr>
        <b/>
        <u/>
        <sz val="11"/>
        <color rgb="FF000000"/>
        <rFont val="Calibri"/>
        <family val="2"/>
        <scheme val="minor"/>
      </rPr>
      <t>Discovery:</t>
    </r>
    <r>
      <rPr>
        <u/>
        <sz val="11"/>
        <color rgb="FF000000"/>
        <rFont val="Calibri"/>
        <family val="2"/>
        <scheme val="minor"/>
      </rPr>
      <t xml:space="preserve"> 
</t>
    </r>
    <r>
      <rPr>
        <u/>
        <sz val="11"/>
        <color rgb="FF0563C1"/>
        <rFont val="Calibri"/>
        <family val="2"/>
        <scheme val="minor"/>
      </rPr>
      <t>https://twygoead.sharepoint.com/:w:/s/Twygo-TeamHub-GPRODUTO/IQDW2StwX_tEQrZh50Bwxj_NAbIjudXMhetvThgzi1nRhS8?e=dDVmms</t>
    </r>
  </si>
  <si>
    <t>Bug retrabalho</t>
  </si>
  <si>
    <t>Angelica</t>
  </si>
  <si>
    <t>Link Figma</t>
  </si>
  <si>
    <t>https://www.figma.com/make/kfbPvt3tNVRgkNStgXsMsU/Base-de-conhecimento-final---Especifica%C3%A7%C3%A3o-de-requisitos?fullscreen=1&amp;t=qSfqsSE6TWUmMzU0-1</t>
  </si>
  <si>
    <t>Deploy</t>
  </si>
  <si>
    <t>Eduardo</t>
  </si>
  <si>
    <t>Desenvolvimento</t>
  </si>
  <si>
    <t>Éverton</t>
  </si>
  <si>
    <t>Documentação</t>
  </si>
  <si>
    <t>Felipe</t>
  </si>
  <si>
    <t>Execução de testes</t>
  </si>
  <si>
    <t>Fred</t>
  </si>
  <si>
    <t>Indiretos - Cerimonias da Equipe</t>
  </si>
  <si>
    <t>Jeiel</t>
  </si>
  <si>
    <t>Reteste</t>
  </si>
  <si>
    <t>João</t>
  </si>
  <si>
    <t>Review</t>
  </si>
  <si>
    <t>Karla</t>
  </si>
  <si>
    <t>Spike</t>
  </si>
  <si>
    <t>Maluf</t>
  </si>
  <si>
    <t>Teste de mesa</t>
  </si>
  <si>
    <t>Milles</t>
  </si>
  <si>
    <t>Morona</t>
  </si>
  <si>
    <t>Vine Coelho</t>
  </si>
  <si>
    <t>Vini Lisboa</t>
  </si>
  <si>
    <t>Tipo da atividade</t>
  </si>
  <si>
    <t>Título da atividade</t>
  </si>
  <si>
    <t>Descrição</t>
  </si>
  <si>
    <t>Esforço estimado</t>
  </si>
  <si>
    <t>Início estimado</t>
  </si>
  <si>
    <t>Término estimado</t>
  </si>
  <si>
    <t>Coluna1</t>
  </si>
  <si>
    <t>Repasse para criação de trial (via URL e API)
    URL: https://stage.twygoead.com/new/register/steps?1
    API: https://stage.twygo.com/api/v2/external_onboarding
Repasse nas exclusões de trial
    Todas as informações pré-definidas da SophiaTech
    Todas informações (pré-definidas e criadas pelos administradores)</t>
  </si>
  <si>
    <t>account_id (*)</t>
  </si>
  <si>
    <t>folder_id (*)</t>
  </si>
  <si>
    <t>situacao_atividade</t>
  </si>
  <si>
    <t>tipo (*)</t>
  </si>
  <si>
    <t>titulo (*)</t>
  </si>
  <si>
    <t>descricao</t>
  </si>
  <si>
    <t>esforco_estimado</t>
  </si>
  <si>
    <t>inicio_estimado</t>
  </si>
  <si>
    <t>termino_estimado</t>
  </si>
  <si>
    <t>funcionalidade</t>
  </si>
  <si>
    <t>sub_funcionalidade</t>
  </si>
  <si>
    <t>responsavel</t>
  </si>
  <si>
    <t>Validar o BETA/Launch</t>
  </si>
  <si>
    <t>Descrição #R1, #R3, #R4 e RN 1–5, 13–17</t>
  </si>
  <si>
    <t xml:space="preserve">QA 1.2 - Listagem "Aprendizagem &gt; Registros" (Admin/Líder) - colunas, sticky, seleção </t>
  </si>
  <si>
    <t>Descrição #R2, #R3, #R4 e RN 6–12, 13–17</t>
  </si>
  <si>
    <t>Descrição #R5, #R6, #R7, #R10 e RN 18–29, 35–37</t>
  </si>
  <si>
    <t xml:space="preserve">QA 1.4 - KPI cards como dashboard estático (Admin/Líder) </t>
  </si>
  <si>
    <t xml:space="preserve">Descrição #R5, #R6, #R8, #R10 e RN 18–25, 30–31, 35–37 </t>
  </si>
  <si>
    <t xml:space="preserve">QA 1.5 - Atualização de KPIs em tempo real (ações, expiração, batch) </t>
  </si>
  <si>
    <t xml:space="preserve">Descrição #R9  e RN 32–34 </t>
  </si>
  <si>
    <t>QA 1.6 - Adicionar registro (3 perfis, validações, origem inferida)</t>
  </si>
  <si>
    <t xml:space="preserve">Descrição #R11 e  RN 38–41 </t>
  </si>
  <si>
    <t xml:space="preserve">QA 1.7 - Editar registro (matriz perfil × origem × status, banners) </t>
  </si>
  <si>
    <t xml:space="preserve">Descrição #R12 e  RN 42–46         </t>
  </si>
  <si>
    <t>QA 1.8 - Visualizar registro (standalone vs form viewing, "Em andamento")</t>
  </si>
  <si>
    <t xml:space="preserve">Descrição #R13 e RN 47–49 </t>
  </si>
  <si>
    <t>QA 1.9 - Avaliar registro pendente (Aprovar/Recusar + modal justificativa)</t>
  </si>
  <si>
    <t>Descrição #R14  e RN 50–54</t>
  </si>
  <si>
    <t xml:space="preserve">Descrição #R18, #R19 e RN 63–70 </t>
  </si>
  <si>
    <t xml:space="preserve">Descrição #R21 e RN 76–80 </t>
  </si>
  <si>
    <t xml:space="preserve">Descrição #R20  e RN 71–75 </t>
  </si>
  <si>
    <t xml:space="preserve">Descrição #R22, #R23 e RN 81–87 </t>
  </si>
  <si>
    <t>Descrição #R24, #R25 e RN 88–92</t>
  </si>
  <si>
    <t xml:space="preserve">Descrição #R26, #R27, #R28 e RN 93–98 </t>
  </si>
  <si>
    <r>
      <rPr>
        <b/>
        <sz val="10"/>
        <color theme="1"/>
        <rFont val="Roboto"/>
      </rPr>
      <t xml:space="preserve">Tabelas novas: </t>
    </r>
    <r>
      <rPr>
        <sz val="10"/>
        <color theme="1"/>
        <rFont val="Roboto"/>
      </rPr>
      <t xml:space="preserve">learning_records, learning_providers, learning_record_evidences e learning_record_histories.
</t>
    </r>
    <r>
      <rPr>
        <b/>
        <sz val="10"/>
        <color theme="1"/>
        <rFont val="Roboto"/>
      </rPr>
      <t>Tabelas atualizadas:</t>
    </r>
    <r>
      <rPr>
        <sz val="10"/>
        <color theme="1"/>
        <rFont val="Roboto"/>
      </rPr>
      <t xml:space="preserve"> event_participants, event_sources, filters, filter_options, active_filters, data_exports, export_jobs, organization_ai_credits e ai_consumptions.</t>
    </r>
  </si>
  <si>
    <r>
      <rPr>
        <b/>
        <sz val="10"/>
        <color theme="1"/>
        <rFont val="Roboto"/>
      </rPr>
      <t>Tabelas novas:</t>
    </r>
    <r>
      <rPr>
        <sz val="10"/>
        <color theme="1"/>
        <rFont val="Roboto"/>
      </rPr>
      <t xml:space="preserve"> learning_records, learning_providers, learning_record_evidences e learning_record_histories.
</t>
    </r>
    <r>
      <rPr>
        <b/>
        <sz val="10"/>
        <color theme="1"/>
        <rFont val="Roboto"/>
      </rPr>
      <t>Tabelas atualizadas:</t>
    </r>
    <r>
      <rPr>
        <sz val="10"/>
        <color theme="1"/>
        <rFont val="Roboto"/>
      </rPr>
      <t xml:space="preserve"> event_participants, event_sources, filters, filter_options, active_filters, data_exports, export_jobs, organization_ai_credits e ai_consumptions.
</t>
    </r>
    <r>
      <rPr>
        <b/>
        <sz val="10"/>
        <color theme="1"/>
        <rFont val="Roboto"/>
      </rPr>
      <t>Tabelas de Logs novas:</t>
    </r>
    <r>
      <rPr>
        <sz val="10"/>
        <color theme="1"/>
        <rFont val="Roboto"/>
      </rPr>
      <t xml:space="preserve"> learning_records_logs e learning_providers_logs.
</t>
    </r>
    <r>
      <rPr>
        <b/>
        <sz val="10"/>
        <color theme="1"/>
        <rFont val="Roboto"/>
      </rPr>
      <t>Tabelas de Logs atualizadas:</t>
    </r>
    <r>
      <rPr>
        <sz val="10"/>
        <color theme="1"/>
        <rFont val="Roboto"/>
      </rPr>
      <t xml:space="preserve"> event_sources_logs, event_participant_logs, certificates_logs e ai_credit_consumption_breakdowns.</t>
    </r>
  </si>
  <si>
    <r>
      <rPr>
        <b/>
        <sz val="10"/>
        <color theme="1"/>
        <rFont val="Roboto"/>
      </rPr>
      <t>Tabelas de Logs novas:</t>
    </r>
    <r>
      <rPr>
        <sz val="10"/>
        <color theme="1"/>
        <rFont val="Roboto"/>
      </rPr>
      <t xml:space="preserve"> learning_records_logs e learning_providers_logs.
</t>
    </r>
    <r>
      <rPr>
        <b/>
        <sz val="10"/>
        <color theme="1"/>
        <rFont val="Roboto"/>
      </rPr>
      <t>Tabelas de Logs atualizadas:</t>
    </r>
    <r>
      <rPr>
        <sz val="10"/>
        <color theme="1"/>
        <rFont val="Roboto"/>
      </rPr>
      <t xml:space="preserve"> event_sources_logs, event_participant_logs, certificates_logs e ai_credit_consumption_breakdowns.</t>
    </r>
  </si>
  <si>
    <t>QA 1.10 - Excluir registro, Evidências e Histórico (drawers, trilhas de eventos)</t>
  </si>
  <si>
    <t xml:space="preserve">Descrição #R15, #R16, #R17 e RN 55–62  </t>
  </si>
  <si>
    <t>QA 1.1 - Listagem "Meu histórico" (Aluno), tabela, campo de busca e mobile</t>
  </si>
  <si>
    <t>QA 1.3 - KPI cards como filtro de status (Aluno)</t>
  </si>
  <si>
    <t>QA 1.11 - Filtros (drawer) + personalização de colunas (DnD)</t>
  </si>
  <si>
    <t>QA 1.12 - Ações em massa (elegibilidade, escopos, toasts com ratio)</t>
  </si>
  <si>
    <t>QA 1.13 - Extração de dados/evidências (assíncrona, modal de atenção)</t>
  </si>
  <si>
    <t>QA 1.14 - CRUD de Provedores + bloqueio de exclusão com vínculo</t>
  </si>
  <si>
    <t xml:space="preserve">QA 1.15 - Preenchimento com IA + crédito de IA (3 estados, modais por perfil) </t>
  </si>
  <si>
    <t xml:space="preserve">QA 1.16 - Escopo do Líder, pessoas inativadas, "Compartilhado"  </t>
  </si>
  <si>
    <t>QA 1.17 - Extração de dados da "Evidência"</t>
  </si>
  <si>
    <t>QA 1.18 - Tabelas do Banco de Dados</t>
  </si>
  <si>
    <t>QA 1.19 - Exclusão do Banco Histórico</t>
  </si>
  <si>
    <t>QA 1.20 - Tabela de Logs</t>
  </si>
  <si>
    <t>QA 1.21 -  Trial</t>
  </si>
  <si>
    <t>QA 1.22 - BETA/Launch</t>
  </si>
  <si>
    <t>Não tem regra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</si>
</sst>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0"/>
      <color theme="1"/>
      <name val="Calibri"/>
      <family val="2"/>
      <scheme val="minor"/>
    </font>
    <font>
      <b/>
      <sz val="12"/>
      <color theme="0"/>
      <name val="Roboto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0"/>
      <name val="Roboto"/>
    </font>
    <font>
      <b/>
      <sz val="10"/>
      <color theme="1"/>
      <name val="Roboto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349DE"/>
        <bgColor indexed="64"/>
      </patternFill>
    </fill>
    <fill>
      <patternFill patternType="solid">
        <fgColor rgb="FF0E2F7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/>
    </xf>
    <xf numFmtId="0" fontId="19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vertical="top"/>
    </xf>
    <xf numFmtId="49" fontId="18" fillId="0" borderId="0" xfId="0" applyNumberFormat="1" applyFont="1" applyAlignment="1">
      <alignment vertical="top" wrapText="1"/>
    </xf>
    <xf numFmtId="14" fontId="18" fillId="0" borderId="0" xfId="0" applyNumberFormat="1" applyFont="1" applyAlignment="1">
      <alignment vertical="top"/>
    </xf>
    <xf numFmtId="49" fontId="18" fillId="0" borderId="0" xfId="0" applyNumberFormat="1" applyFont="1" applyAlignment="1">
      <alignment vertical="top"/>
    </xf>
    <xf numFmtId="0" fontId="19" fillId="34" borderId="13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8" fillId="0" borderId="14" xfId="0" applyFont="1" applyBorder="1" applyAlignment="1">
      <alignment vertical="center"/>
    </xf>
    <xf numFmtId="0" fontId="21" fillId="34" borderId="10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right" vertical="center"/>
    </xf>
    <xf numFmtId="0" fontId="19" fillId="35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18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49" fontId="26" fillId="0" borderId="0" xfId="0" applyNumberFormat="1" applyFont="1" applyAlignment="1">
      <alignment vertical="top" wrapText="1"/>
    </xf>
    <xf numFmtId="14" fontId="26" fillId="0" borderId="0" xfId="0" applyNumberFormat="1" applyFont="1" applyAlignment="1">
      <alignment vertical="top"/>
    </xf>
    <xf numFmtId="49" fontId="26" fillId="0" borderId="0" xfId="0" applyNumberFormat="1" applyFont="1" applyAlignment="1">
      <alignment vertical="top"/>
    </xf>
    <xf numFmtId="0" fontId="18" fillId="0" borderId="0" xfId="0" quotePrefix="1" applyFont="1" applyAlignment="1">
      <alignment vertical="top"/>
    </xf>
    <xf numFmtId="0" fontId="22" fillId="0" borderId="11" xfId="42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22" fillId="0" borderId="11" xfId="42" applyBorder="1" applyAlignment="1">
      <alignment horizontal="left" vertical="center"/>
    </xf>
    <xf numFmtId="0" fontId="22" fillId="0" borderId="15" xfId="42" applyBorder="1" applyAlignment="1">
      <alignment horizontal="left" vertical="center"/>
    </xf>
    <xf numFmtId="0" fontId="22" fillId="0" borderId="16" xfId="42" applyBorder="1" applyAlignment="1">
      <alignment horizontal="left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3">
    <dxf>
      <font>
        <b/>
        <i val="0"/>
        <color rgb="FFAF4014"/>
      </font>
    </dxf>
    <dxf>
      <font>
        <b/>
        <i val="0"/>
        <color rgb="FF08ECCC"/>
      </font>
    </dxf>
    <dxf>
      <font>
        <b/>
        <i val="0"/>
        <color rgb="FF89B0EB"/>
      </font>
    </dxf>
    <dxf>
      <font>
        <b/>
        <i val="0"/>
        <color rgb="FF90F485"/>
      </font>
    </dxf>
    <dxf>
      <font>
        <b/>
        <i val="0"/>
        <color rgb="FFF90EF4"/>
      </font>
    </dxf>
    <dxf>
      <font>
        <b/>
        <i val="0"/>
        <color rgb="FF2442E0"/>
      </font>
    </dxf>
    <dxf>
      <font>
        <b/>
        <i val="0"/>
        <color rgb="FFF1D8D8"/>
      </font>
    </dxf>
    <dxf>
      <font>
        <b/>
        <i val="0"/>
        <color rgb="FFEFB650"/>
      </font>
    </dxf>
    <dxf>
      <font>
        <b/>
        <i val="0"/>
        <color rgb="FF0E2F7C"/>
      </font>
    </dxf>
    <dxf>
      <font>
        <b/>
        <i val="0"/>
      </font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boto"/>
        <scheme val="none"/>
      </font>
      <fill>
        <patternFill patternType="solid">
          <fgColor indexed="64"/>
          <bgColor rgb="FF9349D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E2F7C"/>
      <color rgb="FFEFB650"/>
      <color rgb="FFF1D8D8"/>
      <color rgb="FF2442E0"/>
      <color rgb="FFF90EF4"/>
      <color rgb="FF90F485"/>
      <color rgb="FF89B0EB"/>
      <color rgb="FF08ECCC"/>
      <color rgb="FFAF4014"/>
      <color rgb="FF9349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la Daiany Oliveira" id="{DBE8EF7B-3AF1-40C2-B6EB-8F2162EDCEA4}" userId="a4472f187c2d3a4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CADBB-244A-4B6F-8871-10D28472DBB9}" name="Tabela1" displayName="Tabela1" ref="A1:H23" totalsRowShown="0" headerRowDxfId="42" dataDxfId="40" headerRowBorderDxfId="41" tableBorderDxfId="39">
  <autoFilter ref="A1:H23" xr:uid="{F18CADBB-244A-4B6F-8871-10D28472DBB9}"/>
  <tableColumns count="8">
    <tableColumn id="1" xr3:uid="{7BE972DA-D86D-4B0F-9BD5-F7BD89576A23}" name="Tipo da atividade" dataDxfId="38" totalsRowDxfId="37"/>
    <tableColumn id="2" xr3:uid="{219860F3-4A1F-4C02-9B3E-C4904346689D}" name="Título da atividade" dataDxfId="36" totalsRowDxfId="35"/>
    <tableColumn id="3" xr3:uid="{19B068DE-41DF-4AEC-ACF0-C0DD9DBDEF26}" name="Descrição" dataDxfId="34" totalsRowDxfId="33"/>
    <tableColumn id="4" xr3:uid="{61428A8D-1E97-4DA7-87F9-EB29C8DB3A8B}" name="Esforço estimado" dataDxfId="32" totalsRowDxfId="31"/>
    <tableColumn id="5" xr3:uid="{D9A9B432-3174-4885-A7A4-86D16597D353}" name="Início estimado" dataDxfId="30" totalsRowDxfId="29"/>
    <tableColumn id="6" xr3:uid="{BF201FBD-6569-4D46-A014-ADECF79AF605}" name="Término estimado" dataDxfId="28" totalsRowDxfId="27"/>
    <tableColumn id="9" xr3:uid="{E200AFB6-1FF4-4DF5-AC99-D96E633883A5}" name="Responsável" dataDxfId="26" totalsRowDxfId="25"/>
    <tableColumn id="7" xr3:uid="{97FDC80B-C13F-4660-BB4D-01CB608A1E06}" name="Coluna1" dataDxfId="24" totalsRow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98558-84FD-4A99-80DE-941CA2BCB6E4}" name="Tabela2" displayName="Tabela2" ref="A1:L31" totalsRowShown="0" headerRowDxfId="22">
  <autoFilter ref="A1:L31" xr:uid="{6DA98558-84FD-4A99-80DE-941CA2BCB6E4}"/>
  <tableColumns count="12">
    <tableColumn id="1" xr3:uid="{38A7ABCD-C0E6-48A3-82A2-E0E7D5505A44}" name="account_id (*)" dataDxfId="21">
      <calculatedColumnFormula>IF(Tabela1[[#This Row],[Título da atividade]]="","",produto!$E$2)</calculatedColumnFormula>
    </tableColumn>
    <tableColumn id="2" xr3:uid="{BA6C9E37-7412-4493-9765-72F8D42C1264}" name="folder_id (*)" dataDxfId="20">
      <calculatedColumnFormula>IF(Tabela1[[#This Row],[Título da atividade]]="","",produto!$F$2)</calculatedColumnFormula>
    </tableColumn>
    <tableColumn id="3" xr3:uid="{70D2A543-9906-4D55-AE6F-257868A5330B}" name="situacao_atividade" dataDxfId="19">
      <calculatedColumnFormula>IF(Tabela1[[#This Row],[Título da atividade]]="","",produto!$G$2)</calculatedColumnFormula>
    </tableColumn>
    <tableColumn id="4" xr3:uid="{C782F103-C135-44E0-83B5-70D4887504B3}" name="tipo (*)" dataDxfId="18">
      <calculatedColumnFormula>IF(Tabela1[[#This Row],[Tipo da atividade]]="","",Tabela1[[#This Row],[Tipo da atividade]])</calculatedColumnFormula>
    </tableColumn>
    <tableColumn id="5" xr3:uid="{14030C53-54E8-4FFE-968D-576F939C3278}" name="titulo (*)" dataDxfId="17">
      <calculatedColumnFormula>IF(Tabela1[[#This Row],[Título da atividade]]=""," ",_xlfn.CONCAT(produto!$D$2,"",Tabela1[[#This Row],[Título da atividade]]))</calculatedColumnFormula>
    </tableColumn>
    <tableColumn id="6" xr3:uid="{FDFA7ACF-8C03-40C1-AD9B-3B1D9D1D224B}" name="descricao" dataDxfId="16">
      <calculatedColumnFormula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calculatedColumnFormula>
    </tableColumn>
    <tableColumn id="7" xr3:uid="{AEB2AA15-EF9A-45FC-BCD2-F7D859A9E926}" name="esforco_estimado" dataDxfId="15">
      <calculatedColumnFormula>IF(Tabela1[[#This Row],[Título da atividade]]="","",IF(Tabela1[[#This Row],[Esforço estimado]]&gt;0,Tabela1[[#This Row],[Esforço estimado]],""))</calculatedColumnFormula>
    </tableColumn>
    <tableColumn id="8" xr3:uid="{297A5139-CB00-4D9B-8A22-180F6A0B9D94}" name="inicio_estimado" dataDxfId="14">
      <calculatedColumnFormula>IF(Tabela1[[#This Row],[Título da atividade]]="","",IF(Tabela1[[#This Row],[Início estimado]]&gt;0,Tabela1[[#This Row],[Início estimado]],""))</calculatedColumnFormula>
    </tableColumn>
    <tableColumn id="9" xr3:uid="{1CAC13E1-BBC9-4513-AF7A-9BDF08A56934}" name="termino_estimado" dataDxfId="13">
      <calculatedColumnFormula>IF(Tabela1[[#This Row],[Título da atividade]]="","",IF(Tabela1[[#This Row],[Término estimado]]&gt;0,Tabela1[[#This Row],[Término estimado]],""))</calculatedColumnFormula>
    </tableColumn>
    <tableColumn id="10" xr3:uid="{CCDA66D0-1747-4809-AD49-9D4923148988}" name="funcionalidade" dataDxfId="12">
      <calculatedColumnFormula>IF(Tabela1[[#This Row],[Título da atividade]]="","",produto!$H$2)</calculatedColumnFormula>
    </tableColumn>
    <tableColumn id="11" xr3:uid="{DC529230-9060-4BCC-B541-E32B5E4165C1}" name="sub_funcionalidade" dataDxfId="11">
      <calculatedColumnFormula>IF(Tabela1[[#This Row],[Título da atividade]]="","",produto!$I$2)</calculatedColumnFormula>
    </tableColumn>
    <tableColumn id="12" xr3:uid="{28DCCA29-93DC-4E7C-AD86-F7C55C5FA70C}" name="responsavel" dataDxfId="10">
      <calculatedColumnFormula>IF(Tabela1[[#This Row],[Título da atividade]]="","",IF(Tabela1[[#This Row],[Responsável]]&gt;0,Tabela1[[#This Row],[Responsável]],""))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2-04T11:21:39.88" personId="{DBE8EF7B-3AF1-40C2-B6EB-8F2162EDCEA4}" id="{33F74893-4B54-4460-A2FA-1412C3CF853A}">
    <text>Backlog
Backlog Programado
Não iniciado
Triagem</text>
  </threadedComment>
  <threadedComment ref="H2" dT="2026-02-17T14:15:57.91" personId="{DBE8EF7B-3AF1-40C2-B6EB-8F2162EDCEA4}" id="{9EFF9E12-15F0-4B6B-89E2-91B9FEF11A17}">
    <text>Nome da funcionalidade 
IGUAL no Artia</text>
  </threadedComment>
  <threadedComment ref="I2" dT="2026-02-17T14:16:10.92" personId="{DBE8EF7B-3AF1-40C2-B6EB-8F2162EDCEA4}" id="{B500FD23-48B1-4AD4-95C1-8F3049AF9311}">
    <text xml:space="preserve">Nome da Sub-funcionalidade 
IGUAL no Artia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igma.com/make/kfbPvt3tNVRgkNStgXsMsU/Base-de-conhecimento-final---Especifica%C3%A7%C3%A3o-de-requisitos?fullscreen=1&amp;t=qSfqsSE6TWUmMzU0-1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3606-1CD1-499C-9CDB-BFB496BFC066}">
  <dimension ref="A1:I17"/>
  <sheetViews>
    <sheetView showGridLines="0" workbookViewId="0">
      <selection activeCell="A5" sqref="A5"/>
    </sheetView>
  </sheetViews>
  <sheetFormatPr defaultRowHeight="14.4" x14ac:dyDescent="0.3"/>
  <cols>
    <col min="1" max="1" width="31.6640625" customWidth="1"/>
    <col min="2" max="2" width="17.6640625" customWidth="1"/>
    <col min="3" max="3" width="2.6640625" customWidth="1"/>
    <col min="4" max="4" width="31.6640625" style="3" customWidth="1"/>
    <col min="5" max="6" width="17.6640625" customWidth="1"/>
    <col min="7" max="9" width="31.6640625" customWidth="1"/>
  </cols>
  <sheetData>
    <row r="1" spans="1:9" s="5" customFormat="1" ht="15.9" customHeight="1" x14ac:dyDescent="0.3">
      <c r="A1" s="19" t="s">
        <v>0</v>
      </c>
      <c r="B1" s="19" t="s">
        <v>1</v>
      </c>
      <c r="C1" s="4"/>
      <c r="D1" s="19" t="s">
        <v>2</v>
      </c>
      <c r="E1" s="19" t="s">
        <v>3</v>
      </c>
      <c r="F1" s="19" t="s">
        <v>4</v>
      </c>
      <c r="G1" s="20" t="s">
        <v>5</v>
      </c>
      <c r="H1" s="19" t="s">
        <v>6</v>
      </c>
      <c r="I1" s="19" t="s">
        <v>7</v>
      </c>
    </row>
    <row r="2" spans="1:9" s="9" customFormat="1" ht="15.9" customHeight="1" x14ac:dyDescent="0.3">
      <c r="A2" s="6" t="s">
        <v>8</v>
      </c>
      <c r="B2" s="6" t="s">
        <v>9</v>
      </c>
      <c r="C2" s="18"/>
      <c r="D2" s="7" t="s">
        <v>10</v>
      </c>
      <c r="E2" s="8">
        <v>4874953</v>
      </c>
      <c r="F2" s="7">
        <v>6414890</v>
      </c>
      <c r="G2" s="7" t="s">
        <v>11</v>
      </c>
      <c r="H2" s="7" t="s">
        <v>12</v>
      </c>
      <c r="I2" s="7" t="s">
        <v>12</v>
      </c>
    </row>
    <row r="3" spans="1:9" s="9" customFormat="1" ht="15.9" customHeight="1" x14ac:dyDescent="0.3">
      <c r="A3" s="6" t="s">
        <v>13</v>
      </c>
      <c r="B3" s="6" t="s">
        <v>14</v>
      </c>
      <c r="C3" s="10"/>
      <c r="D3" s="11"/>
      <c r="E3" s="10"/>
      <c r="F3" s="10"/>
      <c r="G3" s="10"/>
      <c r="H3" s="10"/>
      <c r="I3" s="10"/>
    </row>
    <row r="4" spans="1:9" s="9" customFormat="1" ht="66" customHeight="1" x14ac:dyDescent="0.3">
      <c r="A4" s="6" t="s">
        <v>15</v>
      </c>
      <c r="B4" s="6" t="s">
        <v>16</v>
      </c>
      <c r="C4" s="10"/>
      <c r="D4" s="21" t="s">
        <v>17</v>
      </c>
      <c r="E4" s="35" t="s">
        <v>18</v>
      </c>
      <c r="F4" s="36"/>
      <c r="G4" s="36"/>
      <c r="H4" s="36"/>
      <c r="I4" s="37"/>
    </row>
    <row r="5" spans="1:9" s="9" customFormat="1" ht="15.9" customHeight="1" x14ac:dyDescent="0.3">
      <c r="A5" s="6" t="s">
        <v>19</v>
      </c>
      <c r="B5" s="6" t="s">
        <v>20</v>
      </c>
      <c r="C5" s="10"/>
      <c r="D5" s="21" t="s">
        <v>21</v>
      </c>
      <c r="E5" s="38" t="s">
        <v>22</v>
      </c>
      <c r="F5" s="39"/>
      <c r="G5" s="39"/>
      <c r="H5" s="39"/>
      <c r="I5" s="40"/>
    </row>
    <row r="6" spans="1:9" s="9" customFormat="1" ht="15.9" customHeight="1" x14ac:dyDescent="0.3">
      <c r="A6" s="6" t="s">
        <v>23</v>
      </c>
      <c r="B6" s="6" t="s">
        <v>24</v>
      </c>
      <c r="C6" s="10"/>
      <c r="D6" s="11"/>
      <c r="E6" s="10"/>
      <c r="F6" s="10"/>
      <c r="G6" s="10"/>
      <c r="H6" s="10"/>
      <c r="I6" s="10"/>
    </row>
    <row r="7" spans="1:9" s="9" customFormat="1" ht="15.9" customHeight="1" x14ac:dyDescent="0.3">
      <c r="A7" s="6" t="s">
        <v>25</v>
      </c>
      <c r="B7" s="6" t="s">
        <v>26</v>
      </c>
      <c r="C7" s="10"/>
      <c r="D7" s="11"/>
      <c r="E7" s="10"/>
      <c r="F7" s="10"/>
      <c r="G7" s="10"/>
      <c r="H7" s="10"/>
      <c r="I7" s="10"/>
    </row>
    <row r="8" spans="1:9" s="9" customFormat="1" ht="15.9" customHeight="1" x14ac:dyDescent="0.3">
      <c r="A8" s="6" t="s">
        <v>27</v>
      </c>
      <c r="B8" s="6" t="s">
        <v>28</v>
      </c>
      <c r="C8" s="10"/>
      <c r="D8" s="11"/>
      <c r="E8" s="10"/>
      <c r="F8" s="10"/>
      <c r="G8" s="10"/>
      <c r="H8" s="10"/>
      <c r="I8" s="10"/>
    </row>
    <row r="9" spans="1:9" s="9" customFormat="1" ht="15.9" customHeight="1" x14ac:dyDescent="0.3">
      <c r="A9" s="6" t="s">
        <v>29</v>
      </c>
      <c r="B9" s="6" t="s">
        <v>30</v>
      </c>
      <c r="C9" s="10"/>
      <c r="D9" s="11"/>
      <c r="E9" s="10"/>
      <c r="F9" s="10"/>
      <c r="G9" s="10"/>
      <c r="H9" s="10"/>
      <c r="I9" s="10"/>
    </row>
    <row r="10" spans="1:9" s="9" customFormat="1" ht="15.9" customHeight="1" x14ac:dyDescent="0.3">
      <c r="A10" s="6" t="s">
        <v>31</v>
      </c>
      <c r="B10" s="6" t="s">
        <v>32</v>
      </c>
      <c r="C10" s="10"/>
      <c r="D10" s="11"/>
      <c r="E10" s="10"/>
      <c r="F10" s="10"/>
      <c r="G10" s="10"/>
      <c r="H10" s="10"/>
      <c r="I10" s="10"/>
    </row>
    <row r="11" spans="1:9" s="9" customFormat="1" ht="15.9" customHeight="1" x14ac:dyDescent="0.3">
      <c r="A11" s="6" t="s">
        <v>33</v>
      </c>
      <c r="B11" s="6" t="s">
        <v>34</v>
      </c>
      <c r="C11" s="10"/>
      <c r="D11" s="11"/>
      <c r="E11" s="10"/>
      <c r="F11" s="10"/>
      <c r="G11" s="10"/>
      <c r="H11" s="10"/>
      <c r="I11" s="10"/>
    </row>
    <row r="12" spans="1:9" s="9" customFormat="1" ht="15.9" customHeight="1" x14ac:dyDescent="0.3">
      <c r="A12" s="6" t="s">
        <v>35</v>
      </c>
      <c r="B12" s="6" t="s">
        <v>36</v>
      </c>
      <c r="C12" s="10"/>
      <c r="D12" s="11"/>
      <c r="E12" s="10"/>
      <c r="F12" s="10"/>
      <c r="G12" s="10"/>
      <c r="H12" s="10"/>
      <c r="I12" s="10"/>
    </row>
    <row r="13" spans="1:9" s="9" customFormat="1" ht="15.9" customHeight="1" x14ac:dyDescent="0.3">
      <c r="A13" s="6" t="s">
        <v>37</v>
      </c>
      <c r="B13" s="6" t="s">
        <v>38</v>
      </c>
      <c r="C13" s="10"/>
      <c r="D13" s="11"/>
      <c r="E13" s="10"/>
      <c r="F13" s="10"/>
      <c r="G13" s="10"/>
      <c r="H13" s="10"/>
      <c r="I13" s="10"/>
    </row>
    <row r="14" spans="1:9" s="9" customFormat="1" ht="15.9" customHeight="1" x14ac:dyDescent="0.3">
      <c r="A14" s="6" t="s">
        <v>39</v>
      </c>
      <c r="B14" s="6" t="s">
        <v>40</v>
      </c>
      <c r="C14" s="10"/>
      <c r="D14" s="11"/>
      <c r="E14" s="10"/>
      <c r="F14" s="10"/>
      <c r="G14" s="10"/>
      <c r="H14" s="10"/>
      <c r="I14" s="10"/>
    </row>
    <row r="15" spans="1:9" s="9" customFormat="1" ht="15.9" customHeight="1" x14ac:dyDescent="0.3">
      <c r="A15" s="10"/>
      <c r="B15" s="6" t="s">
        <v>41</v>
      </c>
      <c r="C15" s="10"/>
      <c r="D15" s="11"/>
      <c r="E15" s="10"/>
      <c r="F15" s="10"/>
      <c r="G15"/>
      <c r="H15" s="10"/>
      <c r="I15" s="10"/>
    </row>
    <row r="16" spans="1:9" s="9" customFormat="1" ht="15.9" customHeight="1" x14ac:dyDescent="0.3">
      <c r="A16" s="10"/>
      <c r="B16" s="6" t="s">
        <v>42</v>
      </c>
      <c r="C16" s="10"/>
      <c r="D16" s="11"/>
      <c r="E16" s="10"/>
      <c r="F16" s="10"/>
      <c r="G16"/>
      <c r="H16" s="10"/>
      <c r="I16" s="10"/>
    </row>
    <row r="17" spans="1:9" s="9" customFormat="1" ht="15.9" customHeight="1" x14ac:dyDescent="0.3">
      <c r="A17" s="10"/>
      <c r="B17" s="6" t="s">
        <v>43</v>
      </c>
      <c r="C17" s="10"/>
      <c r="D17" s="11"/>
      <c r="E17" s="10"/>
      <c r="F17" s="10"/>
      <c r="G17"/>
      <c r="H17" s="10"/>
      <c r="I17" s="10"/>
    </row>
  </sheetData>
  <sortState xmlns:xlrd2="http://schemas.microsoft.com/office/spreadsheetml/2017/richdata2" ref="A2:A12">
    <sortCondition ref="A2:A12"/>
  </sortState>
  <mergeCells count="2">
    <mergeCell ref="E4:I4"/>
    <mergeCell ref="E5:I5"/>
  </mergeCells>
  <hyperlinks>
    <hyperlink ref="E5:I5" r:id="rId1" display="https://www.figma.com/make/kfbPvt3tNVRgkNStgXsMsU/Base-de-conhecimento-final---Especifica%C3%A7%C3%A3o-de-requisitos?fullscreen=1&amp;t=qSfqsSE6TWUmMzU0-1" xr:uid="{A35088D6-7AD4-41CC-BD6B-886C9EFE0DB0}"/>
  </hyperlinks>
  <pageMargins left="0.7" right="0.7" top="0.75" bottom="0.75" header="0.3" footer="0.3"/>
  <pageSetup paperSize="9" orientation="portrait" horizontalDpi="0" verticalDpi="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CAB1-6E27-401F-A327-07C0F80A114B}">
  <dimension ref="A1:H52"/>
  <sheetViews>
    <sheetView showGridLines="0" tabSelected="1" workbookViewId="0">
      <pane ySplit="1" topLeftCell="A2" activePane="bottomLeft" state="frozen"/>
      <selection pane="bottomLeft" activeCell="B26" sqref="B26"/>
    </sheetView>
  </sheetViews>
  <sheetFormatPr defaultColWidth="9.109375" defaultRowHeight="14.4" x14ac:dyDescent="0.3"/>
  <cols>
    <col min="1" max="1" width="20.88671875" style="1" customWidth="1"/>
    <col min="2" max="2" width="90" style="17" customWidth="1"/>
    <col min="3" max="3" width="54.33203125" style="2" customWidth="1"/>
    <col min="4" max="4" width="12.5546875" style="1" customWidth="1"/>
    <col min="5" max="5" width="18.88671875" style="1" customWidth="1"/>
    <col min="6" max="6" width="22" style="1" customWidth="1"/>
    <col min="7" max="7" width="15.6640625" style="1" customWidth="1"/>
    <col min="8" max="16384" width="9.109375" style="1"/>
  </cols>
  <sheetData>
    <row r="1" spans="1:8" s="17" customFormat="1" ht="30" customHeight="1" x14ac:dyDescent="0.3">
      <c r="A1" s="16" t="s">
        <v>44</v>
      </c>
      <c r="B1" s="16" t="s">
        <v>45</v>
      </c>
      <c r="C1" s="16" t="s">
        <v>46</v>
      </c>
      <c r="D1" s="16" t="s">
        <v>47</v>
      </c>
      <c r="E1" s="22" t="s">
        <v>48</v>
      </c>
      <c r="F1" s="22" t="s">
        <v>49</v>
      </c>
      <c r="G1" s="22" t="s">
        <v>1</v>
      </c>
      <c r="H1" s="16" t="s">
        <v>50</v>
      </c>
    </row>
    <row r="2" spans="1:8" ht="15" customHeight="1" x14ac:dyDescent="0.3">
      <c r="A2" s="12" t="s">
        <v>29</v>
      </c>
      <c r="B2" s="30" t="s">
        <v>92</v>
      </c>
      <c r="C2" s="31" t="s">
        <v>65</v>
      </c>
      <c r="D2" s="34">
        <v>2</v>
      </c>
      <c r="E2" s="14"/>
      <c r="F2" s="14"/>
      <c r="G2" s="12" t="s">
        <v>26</v>
      </c>
      <c r="H2" s="12"/>
    </row>
    <row r="3" spans="1:8" x14ac:dyDescent="0.3">
      <c r="A3" s="12" t="s">
        <v>29</v>
      </c>
      <c r="B3" s="30" t="s">
        <v>66</v>
      </c>
      <c r="C3" s="31" t="s">
        <v>67</v>
      </c>
      <c r="D3" s="12">
        <v>2</v>
      </c>
      <c r="E3" s="14"/>
      <c r="F3" s="14"/>
      <c r="G3" s="12" t="s">
        <v>26</v>
      </c>
      <c r="H3" s="12"/>
    </row>
    <row r="4" spans="1:8" ht="15.6" customHeight="1" x14ac:dyDescent="0.3">
      <c r="A4" s="12" t="s">
        <v>29</v>
      </c>
      <c r="B4" s="30" t="s">
        <v>93</v>
      </c>
      <c r="C4" s="31" t="s">
        <v>68</v>
      </c>
      <c r="D4" s="12">
        <v>1</v>
      </c>
      <c r="E4" s="32"/>
      <c r="F4" s="14"/>
      <c r="G4" s="12" t="s">
        <v>26</v>
      </c>
      <c r="H4" s="12"/>
    </row>
    <row r="5" spans="1:8" ht="16.8" customHeight="1" x14ac:dyDescent="0.3">
      <c r="A5" s="12" t="s">
        <v>29</v>
      </c>
      <c r="B5" s="29" t="s">
        <v>69</v>
      </c>
      <c r="C5" s="13" t="s">
        <v>70</v>
      </c>
      <c r="D5" s="12">
        <v>1</v>
      </c>
      <c r="E5" s="14"/>
      <c r="F5" s="14"/>
      <c r="G5" s="12" t="s">
        <v>26</v>
      </c>
      <c r="H5" s="12"/>
    </row>
    <row r="6" spans="1:8" ht="16.2" customHeight="1" x14ac:dyDescent="0.3">
      <c r="A6" s="12" t="s">
        <v>29</v>
      </c>
      <c r="B6" s="29" t="s">
        <v>71</v>
      </c>
      <c r="C6" s="31" t="s">
        <v>72</v>
      </c>
      <c r="D6" s="12">
        <v>1</v>
      </c>
      <c r="E6" s="14"/>
      <c r="F6" s="14"/>
      <c r="G6" s="12" t="s">
        <v>26</v>
      </c>
      <c r="H6" s="12"/>
    </row>
    <row r="7" spans="1:8" x14ac:dyDescent="0.3">
      <c r="A7" s="12" t="s">
        <v>29</v>
      </c>
      <c r="B7" s="29" t="s">
        <v>73</v>
      </c>
      <c r="C7" s="13" t="s">
        <v>74</v>
      </c>
      <c r="D7" s="12">
        <v>1</v>
      </c>
      <c r="E7" s="14"/>
      <c r="F7" s="14"/>
      <c r="G7" s="12" t="s">
        <v>26</v>
      </c>
      <c r="H7" s="12"/>
    </row>
    <row r="8" spans="1:8" x14ac:dyDescent="0.3">
      <c r="A8" s="12" t="s">
        <v>29</v>
      </c>
      <c r="B8" s="29" t="s">
        <v>75</v>
      </c>
      <c r="C8" s="31" t="s">
        <v>76</v>
      </c>
      <c r="D8" s="12">
        <v>1</v>
      </c>
      <c r="E8" s="14"/>
      <c r="F8" s="14"/>
      <c r="G8" s="12" t="s">
        <v>26</v>
      </c>
      <c r="H8" s="12"/>
    </row>
    <row r="9" spans="1:8" ht="15.6" customHeight="1" x14ac:dyDescent="0.3">
      <c r="A9" s="12" t="s">
        <v>29</v>
      </c>
      <c r="B9" s="29" t="s">
        <v>77</v>
      </c>
      <c r="C9" s="13" t="s">
        <v>78</v>
      </c>
      <c r="D9" s="12">
        <v>1</v>
      </c>
      <c r="E9" s="14"/>
      <c r="F9" s="14"/>
      <c r="G9" s="12" t="s">
        <v>26</v>
      </c>
      <c r="H9" s="12"/>
    </row>
    <row r="10" spans="1:8" ht="15.6" customHeight="1" x14ac:dyDescent="0.3">
      <c r="A10" s="12" t="s">
        <v>29</v>
      </c>
      <c r="B10" s="29" t="s">
        <v>79</v>
      </c>
      <c r="C10" s="31" t="s">
        <v>80</v>
      </c>
      <c r="D10" s="12">
        <v>1</v>
      </c>
      <c r="E10" s="14"/>
      <c r="F10" s="14"/>
      <c r="G10" s="12" t="s">
        <v>26</v>
      </c>
      <c r="H10" s="12"/>
    </row>
    <row r="11" spans="1:8" ht="15" customHeight="1" x14ac:dyDescent="0.3">
      <c r="A11" s="12" t="s">
        <v>29</v>
      </c>
      <c r="B11" s="29" t="s">
        <v>90</v>
      </c>
      <c r="C11" s="13" t="s">
        <v>91</v>
      </c>
      <c r="D11" s="12">
        <v>2</v>
      </c>
      <c r="E11" s="14"/>
      <c r="F11" s="14"/>
      <c r="G11" s="12" t="s">
        <v>26</v>
      </c>
      <c r="H11" s="12"/>
    </row>
    <row r="12" spans="1:8" x14ac:dyDescent="0.3">
      <c r="A12" s="12" t="s">
        <v>29</v>
      </c>
      <c r="B12" s="29" t="s">
        <v>94</v>
      </c>
      <c r="C12" s="13" t="s">
        <v>81</v>
      </c>
      <c r="D12" s="12">
        <v>2</v>
      </c>
      <c r="E12" s="14"/>
      <c r="F12" s="14"/>
      <c r="G12" s="12" t="s">
        <v>26</v>
      </c>
      <c r="H12" s="12"/>
    </row>
    <row r="13" spans="1:8" x14ac:dyDescent="0.3">
      <c r="A13" s="12" t="s">
        <v>29</v>
      </c>
      <c r="B13" s="29" t="s">
        <v>95</v>
      </c>
      <c r="C13" s="31" t="s">
        <v>83</v>
      </c>
      <c r="D13" s="12">
        <v>1</v>
      </c>
      <c r="E13" s="14"/>
      <c r="F13" s="14"/>
      <c r="G13" s="12" t="s">
        <v>26</v>
      </c>
      <c r="H13" s="12"/>
    </row>
    <row r="14" spans="1:8" x14ac:dyDescent="0.3">
      <c r="A14" s="12" t="s">
        <v>29</v>
      </c>
      <c r="B14" s="29" t="s">
        <v>96</v>
      </c>
      <c r="C14" s="13" t="s">
        <v>82</v>
      </c>
      <c r="D14" s="12">
        <v>1</v>
      </c>
      <c r="E14" s="14"/>
      <c r="F14" s="14"/>
      <c r="G14" s="12" t="s">
        <v>26</v>
      </c>
      <c r="H14" s="12"/>
    </row>
    <row r="15" spans="1:8" x14ac:dyDescent="0.3">
      <c r="A15" s="12" t="s">
        <v>29</v>
      </c>
      <c r="B15" s="29" t="s">
        <v>97</v>
      </c>
      <c r="C15" s="31" t="s">
        <v>84</v>
      </c>
      <c r="D15" s="12">
        <v>2</v>
      </c>
      <c r="E15" s="14"/>
      <c r="F15" s="14"/>
      <c r="G15" s="12" t="s">
        <v>26</v>
      </c>
      <c r="H15" s="12"/>
    </row>
    <row r="16" spans="1:8" x14ac:dyDescent="0.3">
      <c r="A16" s="12" t="s">
        <v>29</v>
      </c>
      <c r="B16" s="29" t="s">
        <v>98</v>
      </c>
      <c r="C16" s="13" t="s">
        <v>85</v>
      </c>
      <c r="D16" s="12">
        <v>1</v>
      </c>
      <c r="E16" s="14"/>
      <c r="F16" s="14"/>
      <c r="G16" s="12" t="s">
        <v>26</v>
      </c>
      <c r="H16" s="12"/>
    </row>
    <row r="17" spans="1:8" x14ac:dyDescent="0.3">
      <c r="A17" s="12" t="s">
        <v>29</v>
      </c>
      <c r="B17" s="29" t="s">
        <v>99</v>
      </c>
      <c r="C17" s="15" t="s">
        <v>86</v>
      </c>
      <c r="D17" s="12">
        <v>2</v>
      </c>
      <c r="E17" s="14"/>
      <c r="F17" s="14"/>
      <c r="G17" s="12"/>
      <c r="H17" s="12"/>
    </row>
    <row r="18" spans="1:8" ht="15.6" customHeight="1" x14ac:dyDescent="0.3">
      <c r="A18" s="12" t="s">
        <v>29</v>
      </c>
      <c r="B18" s="29" t="s">
        <v>100</v>
      </c>
      <c r="C18" s="15" t="s">
        <v>106</v>
      </c>
      <c r="D18" s="12">
        <v>1</v>
      </c>
      <c r="E18" s="14"/>
      <c r="F18" s="14"/>
      <c r="G18" s="12"/>
      <c r="H18" s="12"/>
    </row>
    <row r="19" spans="1:8" ht="18.600000000000001" customHeight="1" x14ac:dyDescent="0.3">
      <c r="A19" s="12" t="s">
        <v>29</v>
      </c>
      <c r="B19" s="29" t="s">
        <v>101</v>
      </c>
      <c r="C19" s="13" t="s">
        <v>87</v>
      </c>
      <c r="D19" s="12">
        <v>3</v>
      </c>
      <c r="E19" s="14"/>
      <c r="F19" s="14"/>
      <c r="G19" s="12" t="s">
        <v>26</v>
      </c>
      <c r="H19" s="12"/>
    </row>
    <row r="20" spans="1:8" ht="18" customHeight="1" x14ac:dyDescent="0.3">
      <c r="A20" s="12" t="s">
        <v>29</v>
      </c>
      <c r="B20" s="29" t="s">
        <v>102</v>
      </c>
      <c r="C20" s="13" t="s">
        <v>88</v>
      </c>
      <c r="D20" s="12">
        <v>1</v>
      </c>
      <c r="E20" s="14"/>
      <c r="F20" s="14"/>
      <c r="G20" s="12"/>
      <c r="H20" s="12"/>
    </row>
    <row r="21" spans="1:8" ht="17.399999999999999" customHeight="1" x14ac:dyDescent="0.3">
      <c r="A21" s="12" t="s">
        <v>29</v>
      </c>
      <c r="B21" s="29" t="s">
        <v>103</v>
      </c>
      <c r="C21" s="13" t="s">
        <v>89</v>
      </c>
      <c r="D21" s="12">
        <v>1</v>
      </c>
      <c r="E21" s="14"/>
      <c r="F21" s="14"/>
      <c r="G21" s="12" t="s">
        <v>26</v>
      </c>
      <c r="H21" s="12"/>
    </row>
    <row r="22" spans="1:8" ht="18.600000000000001" customHeight="1" x14ac:dyDescent="0.3">
      <c r="A22" s="12" t="s">
        <v>29</v>
      </c>
      <c r="B22" s="29" t="s">
        <v>104</v>
      </c>
      <c r="C22" s="13" t="s">
        <v>51</v>
      </c>
      <c r="D22" s="12">
        <v>1</v>
      </c>
      <c r="E22" s="14"/>
      <c r="F22" s="14"/>
      <c r="G22" s="12" t="s">
        <v>26</v>
      </c>
      <c r="H22" s="12"/>
    </row>
    <row r="23" spans="1:8" ht="18" customHeight="1" x14ac:dyDescent="0.3">
      <c r="A23" s="12" t="s">
        <v>29</v>
      </c>
      <c r="B23" s="29" t="s">
        <v>105</v>
      </c>
      <c r="C23" s="33" t="s">
        <v>64</v>
      </c>
      <c r="D23" s="12">
        <v>2</v>
      </c>
      <c r="E23" s="14"/>
      <c r="F23" s="14"/>
      <c r="G23" s="12" t="s">
        <v>26</v>
      </c>
      <c r="H23" s="12"/>
    </row>
    <row r="24" spans="1:8" ht="22.8" customHeight="1" x14ac:dyDescent="0.3">
      <c r="C24" s="1"/>
    </row>
    <row r="25" spans="1:8" ht="25.8" customHeight="1" x14ac:dyDescent="0.3"/>
    <row r="26" spans="1:8" ht="22.2" customHeight="1" x14ac:dyDescent="0.3"/>
    <row r="29" spans="1:8" ht="22.2" customHeight="1" x14ac:dyDescent="0.3"/>
    <row r="32" spans="1:8" ht="85.5" customHeight="1" x14ac:dyDescent="0.3"/>
    <row r="37" ht="42" customHeight="1" x14ac:dyDescent="0.3"/>
    <row r="41" ht="70.5" customHeight="1" x14ac:dyDescent="0.3"/>
    <row r="46" ht="39.75" customHeight="1" x14ac:dyDescent="0.3"/>
    <row r="49" ht="39" customHeight="1" x14ac:dyDescent="0.3"/>
    <row r="52" ht="40.5" customHeight="1" x14ac:dyDescent="0.3"/>
  </sheetData>
  <conditionalFormatting sqref="A2:A23">
    <cfRule type="containsText" dxfId="9" priority="1" operator="containsText" text="Deploy">
      <formula>NOT(ISERROR(SEARCH("Deploy",A2)))</formula>
    </cfRule>
    <cfRule type="containsText" dxfId="8" priority="2" operator="containsText" text="Indiretos - Cerimonias da equipe">
      <formula>NOT(ISERROR(SEARCH("Indiretos - Cerimonias da equipe",A2)))</formula>
    </cfRule>
    <cfRule type="containsText" dxfId="7" priority="3" operator="containsText" text="Bug retrabalho">
      <formula>NOT(ISERROR(SEARCH("Bug retrabalho",A2)))</formula>
    </cfRule>
    <cfRule type="containsText" dxfId="6" priority="4" operator="containsText" text="Documentação">
      <formula>NOT(ISERROR(SEARCH("Documentação",A2)))</formula>
    </cfRule>
    <cfRule type="containsText" dxfId="5" priority="5" operator="containsText" text="Reteste">
      <formula>NOT(ISERROR(SEARCH("Reteste",A2)))</formula>
    </cfRule>
    <cfRule type="containsText" dxfId="4" priority="6" operator="containsText" text="Execução de testes">
      <formula>NOT(ISERROR(SEARCH("Execução de testes",A2)))</formula>
    </cfRule>
    <cfRule type="containsText" dxfId="3" priority="7" operator="containsText" text="Análise de testes">
      <formula>NOT(ISERROR(SEARCH("Análise de testes",A2)))</formula>
    </cfRule>
    <cfRule type="containsText" dxfId="2" priority="8" operator="containsText" text="Teste de mesa">
      <formula>NOT(ISERROR(SEARCH("Teste de mesa",A2)))</formula>
    </cfRule>
    <cfRule type="containsText" dxfId="1" priority="9" operator="containsText" text="Desenvolvimento">
      <formula>NOT(ISERROR(SEARCH("Desenvolvimento",A2)))</formula>
    </cfRule>
    <cfRule type="containsText" dxfId="0" priority="10" operator="containsText" text="Spike">
      <formula>NOT(ISERROR(SEARCH("Spike",A2)))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58C8795-E519-429B-99E2-81AD74C01C4C}">
          <x14:formula1>
            <xm:f>produto!$A$2:$A$17</xm:f>
          </x14:formula1>
          <xm:sqref>A25:A1048576 A2:A23</xm:sqref>
        </x14:dataValidation>
        <x14:dataValidation type="list" allowBlank="1" showInputMessage="1" showErrorMessage="1" xr:uid="{064EB586-8E78-40DF-AA6F-6C9CE081175B}">
          <x14:formula1>
            <xm:f>produto!$B$2:$B$17</xm:f>
          </x14:formula1>
          <xm:sqref>G25:G1048576 G2:G23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C7C4-D7F7-488B-8B52-5A052399EBB8}">
  <dimension ref="A1:L31"/>
  <sheetViews>
    <sheetView showGridLines="0" topLeftCell="D1" workbookViewId="0">
      <selection activeCell="F3" sqref="F3"/>
    </sheetView>
  </sheetViews>
  <sheetFormatPr defaultRowHeight="14.4" x14ac:dyDescent="0.3"/>
  <cols>
    <col min="1" max="1" width="18.109375" style="5" bestFit="1" customWidth="1"/>
    <col min="2" max="2" width="16.5546875" style="5" bestFit="1" customWidth="1"/>
    <col min="3" max="3" width="20.109375" style="24" bestFit="1" customWidth="1"/>
    <col min="4" max="4" width="30.44140625" style="24" bestFit="1" customWidth="1"/>
    <col min="5" max="5" width="42.6640625" style="26" customWidth="1"/>
    <col min="6" max="6" width="107.109375" style="26" customWidth="1"/>
    <col min="7" max="7" width="19.33203125" style="5" bestFit="1" customWidth="1"/>
    <col min="8" max="8" width="17.5546875" style="28" bestFit="1" customWidth="1"/>
    <col min="9" max="9" width="20" style="28" bestFit="1" customWidth="1"/>
    <col min="10" max="10" width="25.5546875" style="24" bestFit="1" customWidth="1"/>
    <col min="11" max="11" width="29.33203125" style="24" bestFit="1" customWidth="1"/>
    <col min="12" max="12" width="14" style="5" bestFit="1" customWidth="1"/>
  </cols>
  <sheetData>
    <row r="1" spans="1:12" s="23" customFormat="1" x14ac:dyDescent="0.3">
      <c r="A1" s="24" t="s">
        <v>52</v>
      </c>
      <c r="B1" s="24" t="s">
        <v>53</v>
      </c>
      <c r="C1" s="24" t="s">
        <v>54</v>
      </c>
      <c r="D1" s="24" t="s">
        <v>55</v>
      </c>
      <c r="E1" s="26" t="s">
        <v>56</v>
      </c>
      <c r="F1" s="25" t="s">
        <v>57</v>
      </c>
      <c r="G1" s="24" t="s">
        <v>58</v>
      </c>
      <c r="H1" s="27" t="s">
        <v>59</v>
      </c>
      <c r="I1" s="27" t="s">
        <v>60</v>
      </c>
      <c r="J1" s="24" t="s">
        <v>61</v>
      </c>
      <c r="K1" s="24" t="s">
        <v>62</v>
      </c>
      <c r="L1" s="24" t="s">
        <v>63</v>
      </c>
    </row>
    <row r="2" spans="1:12" ht="187.2" x14ac:dyDescent="0.3">
      <c r="A2" s="5">
        <f>IF(Tabela1[[#This Row],[Título da atividade]]="","",produto!$E$2)</f>
        <v>4874953</v>
      </c>
      <c r="B2" s="5">
        <f>IF(Tabela1[[#This Row],[Título da atividade]]="","",produto!$F$2)</f>
        <v>6414890</v>
      </c>
      <c r="C2" s="24" t="str">
        <f>IF(Tabela1[[#This Row],[Título da atividade]]="","",produto!$G$2)</f>
        <v>Backlog</v>
      </c>
      <c r="D2" s="24" t="str">
        <f>IF(Tabela1[[#This Row],[Tipo da atividade]]="","",Tabela1[[#This Row],[Tipo da atividade]])</f>
        <v>Execução de testes</v>
      </c>
      <c r="E2" s="26" t="str">
        <f>IF(Tabela1[[#This Row],[Título da atividade]]=""," ",_xlfn.CONCAT(produto!$D$2,"",Tabela1[[#This Row],[Título da atividade]]))</f>
        <v>[Kit de marca] QA 1.1 - Listagem "Meu histórico" (Aluno), tabela, campo de busca e mobile</v>
      </c>
      <c r="F2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#R1, #R3, #R4 e RN 1–5, 13–17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2" s="5">
        <f>IF(Tabela1[[#This Row],[Título da atividade]]="","",IF(Tabela1[[#This Row],[Esforço estimado]]&gt;0,Tabela1[[#This Row],[Esforço estimado]],""))</f>
        <v>2</v>
      </c>
      <c r="H2" s="28" t="str">
        <f>IF(Tabela1[[#This Row],[Título da atividade]]="","",IF(Tabela1[[#This Row],[Início estimado]]&gt;0,Tabela1[[#This Row],[Início estimado]],""))</f>
        <v/>
      </c>
      <c r="I2" s="28" t="str">
        <f>IF(Tabela1[[#This Row],[Título da atividade]]="","",IF(Tabela1[[#This Row],[Término estimado]]&gt;0,Tabela1[[#This Row],[Término estimado]],""))</f>
        <v/>
      </c>
      <c r="J2" s="24" t="str">
        <f>IF(Tabela1[[#This Row],[Título da atividade]]="","",produto!$H$2)</f>
        <v>Twygo</v>
      </c>
      <c r="K2" s="24" t="str">
        <f>IF(Tabela1[[#This Row],[Título da atividade]]="","",produto!$I$2)</f>
        <v>Twygo</v>
      </c>
      <c r="L2" s="5" t="str">
        <f>IF(Tabela1[[#This Row],[Título da atividade]]="","",IF(Tabela1[[#This Row],[Responsável]]&gt;0,Tabela1[[#This Row],[Responsável]],""))</f>
        <v>Éverton</v>
      </c>
    </row>
    <row r="3" spans="1:12" ht="187.2" x14ac:dyDescent="0.3">
      <c r="A3" s="5">
        <f>IF(Tabela1[[#This Row],[Título da atividade]]="","",produto!$E$2)</f>
        <v>4874953</v>
      </c>
      <c r="B3" s="5">
        <f>IF(Tabela1[[#This Row],[Título da atividade]]="","",produto!$F$2)</f>
        <v>6414890</v>
      </c>
      <c r="C3" s="24" t="str">
        <f>IF(Tabela1[[#This Row],[Título da atividade]]="","",produto!$G$2)</f>
        <v>Backlog</v>
      </c>
      <c r="D3" s="24" t="str">
        <f>IF(Tabela1[[#This Row],[Tipo da atividade]]="","",Tabela1[[#This Row],[Tipo da atividade]])</f>
        <v>Execução de testes</v>
      </c>
      <c r="E3" s="26" t="str">
        <f>IF(Tabela1[[#This Row],[Título da atividade]]=""," ",_xlfn.CONCAT(produto!$D$2,"",Tabela1[[#This Row],[Título da atividade]]))</f>
        <v xml:space="preserve">[Kit de marca] QA 1.2 - Listagem "Aprendizagem &gt; Registros" (Admin/Líder) - colunas, sticky, seleção </v>
      </c>
      <c r="F3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#R2, #R3, #R4 e RN 6–12, 13–17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3" s="5">
        <f>IF(Tabela1[[#This Row],[Título da atividade]]="","",IF(Tabela1[[#This Row],[Esforço estimado]]&gt;0,Tabela1[[#This Row],[Esforço estimado]],""))</f>
        <v>2</v>
      </c>
      <c r="H3" s="28" t="str">
        <f>IF(Tabela1[[#This Row],[Título da atividade]]="","",IF(Tabela1[[#This Row],[Início estimado]]&gt;0,Tabela1[[#This Row],[Início estimado]],""))</f>
        <v/>
      </c>
      <c r="I3" s="28" t="str">
        <f>IF(Tabela1[[#This Row],[Título da atividade]]="","",IF(Tabela1[[#This Row],[Término estimado]]&gt;0,Tabela1[[#This Row],[Término estimado]],""))</f>
        <v/>
      </c>
      <c r="J3" s="24" t="str">
        <f>IF(Tabela1[[#This Row],[Título da atividade]]="","",produto!$H$2)</f>
        <v>Twygo</v>
      </c>
      <c r="K3" s="24" t="str">
        <f>IF(Tabela1[[#This Row],[Título da atividade]]="","",produto!$I$2)</f>
        <v>Twygo</v>
      </c>
      <c r="L3" s="5" t="str">
        <f>IF(Tabela1[[#This Row],[Título da atividade]]="","",IF(Tabela1[[#This Row],[Responsável]]&gt;0,Tabela1[[#This Row],[Responsável]],""))</f>
        <v>Éverton</v>
      </c>
    </row>
    <row r="4" spans="1:12" ht="187.2" x14ac:dyDescent="0.3">
      <c r="A4" s="5">
        <f>IF(Tabela1[[#This Row],[Título da atividade]]="","",produto!$E$2)</f>
        <v>4874953</v>
      </c>
      <c r="B4" s="5">
        <f>IF(Tabela1[[#This Row],[Título da atividade]]="","",produto!$F$2)</f>
        <v>6414890</v>
      </c>
      <c r="C4" s="24" t="str">
        <f>IF(Tabela1[[#This Row],[Título da atividade]]="","",produto!$G$2)</f>
        <v>Backlog</v>
      </c>
      <c r="D4" s="24" t="str">
        <f>IF(Tabela1[[#This Row],[Tipo da atividade]]="","",Tabela1[[#This Row],[Tipo da atividade]])</f>
        <v>Execução de testes</v>
      </c>
      <c r="E4" s="26" t="str">
        <f>IF(Tabela1[[#This Row],[Título da atividade]]=""," ",_xlfn.CONCAT(produto!$D$2,"",Tabela1[[#This Row],[Título da atividade]]))</f>
        <v>[Kit de marca] QA 1.3 - KPI cards como filtro de status (Aluno)</v>
      </c>
      <c r="F4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#R5, #R6, #R7, #R10 e RN 18–29, 35–37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4" s="5">
        <f>IF(Tabela1[[#This Row],[Título da atividade]]="","",IF(Tabela1[[#This Row],[Esforço estimado]]&gt;0,Tabela1[[#This Row],[Esforço estimado]],""))</f>
        <v>1</v>
      </c>
      <c r="H4" s="28" t="str">
        <f>IF(Tabela1[[#This Row],[Título da atividade]]="","",IF(Tabela1[[#This Row],[Início estimado]]&gt;0,Tabela1[[#This Row],[Início estimado]],""))</f>
        <v/>
      </c>
      <c r="I4" s="28" t="str">
        <f>IF(Tabela1[[#This Row],[Título da atividade]]="","",IF(Tabela1[[#This Row],[Término estimado]]&gt;0,Tabela1[[#This Row],[Término estimado]],""))</f>
        <v/>
      </c>
      <c r="J4" s="24" t="str">
        <f>IF(Tabela1[[#This Row],[Título da atividade]]="","",produto!$H$2)</f>
        <v>Twygo</v>
      </c>
      <c r="K4" s="24" t="str">
        <f>IF(Tabela1[[#This Row],[Título da atividade]]="","",produto!$I$2)</f>
        <v>Twygo</v>
      </c>
      <c r="L4" s="5" t="str">
        <f>IF(Tabela1[[#This Row],[Título da atividade]]="","",IF(Tabela1[[#This Row],[Responsável]]&gt;0,Tabela1[[#This Row],[Responsável]],""))</f>
        <v>Éverton</v>
      </c>
    </row>
    <row r="5" spans="1:12" ht="187.2" x14ac:dyDescent="0.3">
      <c r="A5" s="5">
        <f>IF(Tabela1[[#This Row],[Título da atividade]]="","",produto!$E$2)</f>
        <v>4874953</v>
      </c>
      <c r="B5" s="5">
        <f>IF(Tabela1[[#This Row],[Título da atividade]]="","",produto!$F$2)</f>
        <v>6414890</v>
      </c>
      <c r="C5" s="24" t="str">
        <f>IF(Tabela1[[#This Row],[Título da atividade]]="","",produto!$G$2)</f>
        <v>Backlog</v>
      </c>
      <c r="D5" s="24" t="str">
        <f>IF(Tabela1[[#This Row],[Tipo da atividade]]="","",Tabela1[[#This Row],[Tipo da atividade]])</f>
        <v>Execução de testes</v>
      </c>
      <c r="E5" s="26" t="str">
        <f>IF(Tabela1[[#This Row],[Título da atividade]]=""," ",_xlfn.CONCAT(produto!$D$2,"",Tabela1[[#This Row],[Título da atividade]]))</f>
        <v xml:space="preserve">[Kit de marca] QA 1.4 - KPI cards como dashboard estático (Admin/Líder) </v>
      </c>
      <c r="F5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#R5, #R6, #R8, #R10 e RN 18–25, 30–31, 35–37 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5" s="5">
        <f>IF(Tabela1[[#This Row],[Título da atividade]]="","",IF(Tabela1[[#This Row],[Esforço estimado]]&gt;0,Tabela1[[#This Row],[Esforço estimado]],""))</f>
        <v>1</v>
      </c>
      <c r="H5" s="28" t="str">
        <f>IF(Tabela1[[#This Row],[Título da atividade]]="","",IF(Tabela1[[#This Row],[Início estimado]]&gt;0,Tabela1[[#This Row],[Início estimado]],""))</f>
        <v/>
      </c>
      <c r="I5" s="28" t="str">
        <f>IF(Tabela1[[#This Row],[Título da atividade]]="","",IF(Tabela1[[#This Row],[Término estimado]]&gt;0,Tabela1[[#This Row],[Término estimado]],""))</f>
        <v/>
      </c>
      <c r="J5" s="24" t="str">
        <f>IF(Tabela1[[#This Row],[Título da atividade]]="","",produto!$H$2)</f>
        <v>Twygo</v>
      </c>
      <c r="K5" s="24" t="str">
        <f>IF(Tabela1[[#This Row],[Título da atividade]]="","",produto!$I$2)</f>
        <v>Twygo</v>
      </c>
      <c r="L5" s="5" t="str">
        <f>IF(Tabela1[[#This Row],[Título da atividade]]="","",IF(Tabela1[[#This Row],[Responsável]]&gt;0,Tabela1[[#This Row],[Responsável]],""))</f>
        <v>Éverton</v>
      </c>
    </row>
    <row r="6" spans="1:12" ht="187.2" x14ac:dyDescent="0.3">
      <c r="A6" s="5">
        <f>IF(Tabela1[[#This Row],[Título da atividade]]="","",produto!$E$2)</f>
        <v>4874953</v>
      </c>
      <c r="B6" s="5">
        <f>IF(Tabela1[[#This Row],[Título da atividade]]="","",produto!$F$2)</f>
        <v>6414890</v>
      </c>
      <c r="C6" s="24" t="str">
        <f>IF(Tabela1[[#This Row],[Título da atividade]]="","",produto!$G$2)</f>
        <v>Backlog</v>
      </c>
      <c r="D6" s="24" t="str">
        <f>IF(Tabela1[[#This Row],[Tipo da atividade]]="","",Tabela1[[#This Row],[Tipo da atividade]])</f>
        <v>Execução de testes</v>
      </c>
      <c r="E6" s="26" t="str">
        <f>IF(Tabela1[[#This Row],[Título da atividade]]=""," ",_xlfn.CONCAT(produto!$D$2,"",Tabela1[[#This Row],[Título da atividade]]))</f>
        <v xml:space="preserve">[Kit de marca] QA 1.5 - Atualização de KPIs em tempo real (ações, expiração, batch) </v>
      </c>
      <c r="F6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#R9  e RN 32–34 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6" s="5">
        <f>IF(Tabela1[[#This Row],[Título da atividade]]="","",IF(Tabela1[[#This Row],[Esforço estimado]]&gt;0,Tabela1[[#This Row],[Esforço estimado]],""))</f>
        <v>1</v>
      </c>
      <c r="H6" s="28" t="str">
        <f>IF(Tabela1[[#This Row],[Título da atividade]]="","",IF(Tabela1[[#This Row],[Início estimado]]&gt;0,Tabela1[[#This Row],[Início estimado]],""))</f>
        <v/>
      </c>
      <c r="I6" s="28" t="str">
        <f>IF(Tabela1[[#This Row],[Título da atividade]]="","",IF(Tabela1[[#This Row],[Término estimado]]&gt;0,Tabela1[[#This Row],[Término estimado]],""))</f>
        <v/>
      </c>
      <c r="J6" s="24" t="str">
        <f>IF(Tabela1[[#This Row],[Título da atividade]]="","",produto!$H$2)</f>
        <v>Twygo</v>
      </c>
      <c r="K6" s="24" t="str">
        <f>IF(Tabela1[[#This Row],[Título da atividade]]="","",produto!$I$2)</f>
        <v>Twygo</v>
      </c>
      <c r="L6" s="5" t="str">
        <f>IF(Tabela1[[#This Row],[Título da atividade]]="","",IF(Tabela1[[#This Row],[Responsável]]&gt;0,Tabela1[[#This Row],[Responsável]],""))</f>
        <v>Éverton</v>
      </c>
    </row>
    <row r="7" spans="1:12" ht="187.2" x14ac:dyDescent="0.3">
      <c r="A7" s="5">
        <f>IF(Tabela1[[#This Row],[Título da atividade]]="","",produto!$E$2)</f>
        <v>4874953</v>
      </c>
      <c r="B7" s="5">
        <f>IF(Tabela1[[#This Row],[Título da atividade]]="","",produto!$F$2)</f>
        <v>6414890</v>
      </c>
      <c r="C7" s="24" t="str">
        <f>IF(Tabela1[[#This Row],[Título da atividade]]="","",produto!$G$2)</f>
        <v>Backlog</v>
      </c>
      <c r="D7" s="24" t="str">
        <f>IF(Tabela1[[#This Row],[Tipo da atividade]]="","",Tabela1[[#This Row],[Tipo da atividade]])</f>
        <v>Execução de testes</v>
      </c>
      <c r="E7" s="26" t="str">
        <f>IF(Tabela1[[#This Row],[Título da atividade]]=""," ",_xlfn.CONCAT(produto!$D$2,"",Tabela1[[#This Row],[Título da atividade]]))</f>
        <v>[Kit de marca] QA 1.6 - Adicionar registro (3 perfis, validações, origem inferida)</v>
      </c>
      <c r="F7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#R11 e  RN 38–41 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7" s="5">
        <f>IF(Tabela1[[#This Row],[Título da atividade]]="","",IF(Tabela1[[#This Row],[Esforço estimado]]&gt;0,Tabela1[[#This Row],[Esforço estimado]],""))</f>
        <v>1</v>
      </c>
      <c r="H7" s="28" t="str">
        <f>IF(Tabela1[[#This Row],[Título da atividade]]="","",IF(Tabela1[[#This Row],[Início estimado]]&gt;0,Tabela1[[#This Row],[Início estimado]],""))</f>
        <v/>
      </c>
      <c r="I7" s="28" t="str">
        <f>IF(Tabela1[[#This Row],[Título da atividade]]="","",IF(Tabela1[[#This Row],[Término estimado]]&gt;0,Tabela1[[#This Row],[Término estimado]],""))</f>
        <v/>
      </c>
      <c r="J7" s="24" t="str">
        <f>IF(Tabela1[[#This Row],[Título da atividade]]="","",produto!$H$2)</f>
        <v>Twygo</v>
      </c>
      <c r="K7" s="24" t="str">
        <f>IF(Tabela1[[#This Row],[Título da atividade]]="","",produto!$I$2)</f>
        <v>Twygo</v>
      </c>
      <c r="L7" s="5" t="str">
        <f>IF(Tabela1[[#This Row],[Título da atividade]]="","",IF(Tabela1[[#This Row],[Responsável]]&gt;0,Tabela1[[#This Row],[Responsável]],""))</f>
        <v>Éverton</v>
      </c>
    </row>
    <row r="8" spans="1:12" ht="187.2" x14ac:dyDescent="0.3">
      <c r="A8" s="5">
        <f>IF(Tabela1[[#This Row],[Título da atividade]]="","",produto!$E$2)</f>
        <v>4874953</v>
      </c>
      <c r="B8" s="5">
        <f>IF(Tabela1[[#This Row],[Título da atividade]]="","",produto!$F$2)</f>
        <v>6414890</v>
      </c>
      <c r="C8" s="24" t="str">
        <f>IF(Tabela1[[#This Row],[Título da atividade]]="","",produto!$G$2)</f>
        <v>Backlog</v>
      </c>
      <c r="D8" s="24" t="str">
        <f>IF(Tabela1[[#This Row],[Tipo da atividade]]="","",Tabela1[[#This Row],[Tipo da atividade]])</f>
        <v>Execução de testes</v>
      </c>
      <c r="E8" s="26" t="str">
        <f>IF(Tabela1[[#This Row],[Título da atividade]]=""," ",_xlfn.CONCAT(produto!$D$2,"",Tabela1[[#This Row],[Título da atividade]]))</f>
        <v xml:space="preserve">[Kit de marca] QA 1.7 - Editar registro (matriz perfil × origem × status, banners) </v>
      </c>
      <c r="F8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#R12 e  RN 42–46         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8" s="5">
        <f>IF(Tabela1[[#This Row],[Título da atividade]]="","",IF(Tabela1[[#This Row],[Esforço estimado]]&gt;0,Tabela1[[#This Row],[Esforço estimado]],""))</f>
        <v>1</v>
      </c>
      <c r="H8" s="28" t="str">
        <f>IF(Tabela1[[#This Row],[Título da atividade]]="","",IF(Tabela1[[#This Row],[Início estimado]]&gt;0,Tabela1[[#This Row],[Início estimado]],""))</f>
        <v/>
      </c>
      <c r="I8" s="28" t="str">
        <f>IF(Tabela1[[#This Row],[Título da atividade]]="","",IF(Tabela1[[#This Row],[Término estimado]]&gt;0,Tabela1[[#This Row],[Término estimado]],""))</f>
        <v/>
      </c>
      <c r="J8" s="24" t="str">
        <f>IF(Tabela1[[#This Row],[Título da atividade]]="","",produto!$H$2)</f>
        <v>Twygo</v>
      </c>
      <c r="K8" s="24" t="str">
        <f>IF(Tabela1[[#This Row],[Título da atividade]]="","",produto!$I$2)</f>
        <v>Twygo</v>
      </c>
      <c r="L8" s="5" t="str">
        <f>IF(Tabela1[[#This Row],[Título da atividade]]="","",IF(Tabela1[[#This Row],[Responsável]]&gt;0,Tabela1[[#This Row],[Responsável]],""))</f>
        <v>Éverton</v>
      </c>
    </row>
    <row r="9" spans="1:12" ht="187.2" x14ac:dyDescent="0.3">
      <c r="A9" s="5">
        <f>IF(Tabela1[[#This Row],[Título da atividade]]="","",produto!$E$2)</f>
        <v>4874953</v>
      </c>
      <c r="B9" s="5">
        <f>IF(Tabela1[[#This Row],[Título da atividade]]="","",produto!$F$2)</f>
        <v>6414890</v>
      </c>
      <c r="C9" s="24" t="str">
        <f>IF(Tabela1[[#This Row],[Título da atividade]]="","",produto!$G$2)</f>
        <v>Backlog</v>
      </c>
      <c r="D9" s="24" t="str">
        <f>IF(Tabela1[[#This Row],[Tipo da atividade]]="","",Tabela1[[#This Row],[Tipo da atividade]])</f>
        <v>Execução de testes</v>
      </c>
      <c r="E9" s="26" t="str">
        <f>IF(Tabela1[[#This Row],[Título da atividade]]=""," ",_xlfn.CONCAT(produto!$D$2,"",Tabela1[[#This Row],[Título da atividade]]))</f>
        <v>[Kit de marca] QA 1.8 - Visualizar registro (standalone vs form viewing, "Em andamento")</v>
      </c>
      <c r="F9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#R13 e RN 47–49 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9" s="5">
        <f>IF(Tabela1[[#This Row],[Título da atividade]]="","",IF(Tabela1[[#This Row],[Esforço estimado]]&gt;0,Tabela1[[#This Row],[Esforço estimado]],""))</f>
        <v>1</v>
      </c>
      <c r="H9" s="28" t="str">
        <f>IF(Tabela1[[#This Row],[Título da atividade]]="","",IF(Tabela1[[#This Row],[Início estimado]]&gt;0,Tabela1[[#This Row],[Início estimado]],""))</f>
        <v/>
      </c>
      <c r="I9" s="28" t="str">
        <f>IF(Tabela1[[#This Row],[Título da atividade]]="","",IF(Tabela1[[#This Row],[Término estimado]]&gt;0,Tabela1[[#This Row],[Término estimado]],""))</f>
        <v/>
      </c>
      <c r="J9" s="24" t="str">
        <f>IF(Tabela1[[#This Row],[Título da atividade]]="","",produto!$H$2)</f>
        <v>Twygo</v>
      </c>
      <c r="K9" s="24" t="str">
        <f>IF(Tabela1[[#This Row],[Título da atividade]]="","",produto!$I$2)</f>
        <v>Twygo</v>
      </c>
      <c r="L9" s="5" t="str">
        <f>IF(Tabela1[[#This Row],[Título da atividade]]="","",IF(Tabela1[[#This Row],[Responsável]]&gt;0,Tabela1[[#This Row],[Responsável]],""))</f>
        <v>Éverton</v>
      </c>
    </row>
    <row r="10" spans="1:12" ht="187.2" x14ac:dyDescent="0.3">
      <c r="A10" s="5">
        <f>IF(Tabela1[[#This Row],[Título da atividade]]="","",produto!$E$2)</f>
        <v>4874953</v>
      </c>
      <c r="B10" s="5">
        <f>IF(Tabela1[[#This Row],[Título da atividade]]="","",produto!$F$2)</f>
        <v>6414890</v>
      </c>
      <c r="C10" s="24" t="str">
        <f>IF(Tabela1[[#This Row],[Título da atividade]]="","",produto!$G$2)</f>
        <v>Backlog</v>
      </c>
      <c r="D10" s="24" t="str">
        <f>IF(Tabela1[[#This Row],[Tipo da atividade]]="","",Tabela1[[#This Row],[Tipo da atividade]])</f>
        <v>Execução de testes</v>
      </c>
      <c r="E10" s="26" t="str">
        <f>IF(Tabela1[[#This Row],[Título da atividade]]=""," ",_xlfn.CONCAT(produto!$D$2,"",Tabela1[[#This Row],[Título da atividade]]))</f>
        <v>[Kit de marca] QA 1.9 - Avaliar registro pendente (Aprovar/Recusar + modal justificativa)</v>
      </c>
      <c r="F10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#R14  e RN 50–54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0" s="5">
        <f>IF(Tabela1[[#This Row],[Título da atividade]]="","",IF(Tabela1[[#This Row],[Esforço estimado]]&gt;0,Tabela1[[#This Row],[Esforço estimado]],""))</f>
        <v>1</v>
      </c>
      <c r="H10" s="28" t="str">
        <f>IF(Tabela1[[#This Row],[Título da atividade]]="","",IF(Tabela1[[#This Row],[Início estimado]]&gt;0,Tabela1[[#This Row],[Início estimado]],""))</f>
        <v/>
      </c>
      <c r="I10" s="28" t="str">
        <f>IF(Tabela1[[#This Row],[Título da atividade]]="","",IF(Tabela1[[#This Row],[Término estimado]]&gt;0,Tabela1[[#This Row],[Término estimado]],""))</f>
        <v/>
      </c>
      <c r="J10" s="24" t="str">
        <f>IF(Tabela1[[#This Row],[Título da atividade]]="","",produto!$H$2)</f>
        <v>Twygo</v>
      </c>
      <c r="K10" s="24" t="str">
        <f>IF(Tabela1[[#This Row],[Título da atividade]]="","",produto!$I$2)</f>
        <v>Twygo</v>
      </c>
      <c r="L10" s="5" t="str">
        <f>IF(Tabela1[[#This Row],[Título da atividade]]="","",IF(Tabela1[[#This Row],[Responsável]]&gt;0,Tabela1[[#This Row],[Responsável]],""))</f>
        <v>Éverton</v>
      </c>
    </row>
    <row r="11" spans="1:12" ht="187.2" x14ac:dyDescent="0.3">
      <c r="A11" s="5">
        <f>IF(Tabela1[[#This Row],[Título da atividade]]="","",produto!$E$2)</f>
        <v>4874953</v>
      </c>
      <c r="B11" s="5">
        <f>IF(Tabela1[[#This Row],[Título da atividade]]="","",produto!$F$2)</f>
        <v>6414890</v>
      </c>
      <c r="C11" s="24" t="str">
        <f>IF(Tabela1[[#This Row],[Título da atividade]]="","",produto!$G$2)</f>
        <v>Backlog</v>
      </c>
      <c r="D11" s="24" t="str">
        <f>IF(Tabela1[[#This Row],[Tipo da atividade]]="","",Tabela1[[#This Row],[Tipo da atividade]])</f>
        <v>Execução de testes</v>
      </c>
      <c r="E11" s="26" t="str">
        <f>IF(Tabela1[[#This Row],[Título da atividade]]=""," ",_xlfn.CONCAT(produto!$D$2,"",Tabela1[[#This Row],[Título da atividade]]))</f>
        <v>[Kit de marca] QA 1.10 - Excluir registro, Evidências e Histórico (drawers, trilhas de eventos)</v>
      </c>
      <c r="F11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#R15, #R16, #R17 e RN 55–62  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1" s="5">
        <f>IF(Tabela1[[#This Row],[Título da atividade]]="","",IF(Tabela1[[#This Row],[Esforço estimado]]&gt;0,Tabela1[[#This Row],[Esforço estimado]],""))</f>
        <v>2</v>
      </c>
      <c r="H11" s="28" t="str">
        <f>IF(Tabela1[[#This Row],[Título da atividade]]="","",IF(Tabela1[[#This Row],[Início estimado]]&gt;0,Tabela1[[#This Row],[Início estimado]],""))</f>
        <v/>
      </c>
      <c r="I11" s="28" t="str">
        <f>IF(Tabela1[[#This Row],[Título da atividade]]="","",IF(Tabela1[[#This Row],[Término estimado]]&gt;0,Tabela1[[#This Row],[Término estimado]],""))</f>
        <v/>
      </c>
      <c r="J11" s="24" t="str">
        <f>IF(Tabela1[[#This Row],[Título da atividade]]="","",produto!$H$2)</f>
        <v>Twygo</v>
      </c>
      <c r="K11" s="24" t="str">
        <f>IF(Tabela1[[#This Row],[Título da atividade]]="","",produto!$I$2)</f>
        <v>Twygo</v>
      </c>
      <c r="L11" s="5" t="str">
        <f>IF(Tabela1[[#This Row],[Título da atividade]]="","",IF(Tabela1[[#This Row],[Responsável]]&gt;0,Tabela1[[#This Row],[Responsável]],""))</f>
        <v>Éverton</v>
      </c>
    </row>
    <row r="12" spans="1:12" ht="187.2" x14ac:dyDescent="0.3">
      <c r="A12" s="5">
        <f>IF(Tabela1[[#This Row],[Título da atividade]]="","",produto!$E$2)</f>
        <v>4874953</v>
      </c>
      <c r="B12" s="5">
        <f>IF(Tabela1[[#This Row],[Título da atividade]]="","",produto!$F$2)</f>
        <v>6414890</v>
      </c>
      <c r="C12" s="24" t="str">
        <f>IF(Tabela1[[#This Row],[Título da atividade]]="","",produto!$G$2)</f>
        <v>Backlog</v>
      </c>
      <c r="D12" s="24" t="str">
        <f>IF(Tabela1[[#This Row],[Tipo da atividade]]="","",Tabela1[[#This Row],[Tipo da atividade]])</f>
        <v>Execução de testes</v>
      </c>
      <c r="E12" s="26" t="str">
        <f>IF(Tabela1[[#This Row],[Título da atividade]]=""," ",_xlfn.CONCAT(produto!$D$2,"",Tabela1[[#This Row],[Título da atividade]]))</f>
        <v>[Kit de marca] QA 1.11 - Filtros (drawer) + personalização de colunas (DnD)</v>
      </c>
      <c r="F12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#R18, #R19 e RN 63–70 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2" s="5">
        <f>IF(Tabela1[[#This Row],[Título da atividade]]="","",IF(Tabela1[[#This Row],[Esforço estimado]]&gt;0,Tabela1[[#This Row],[Esforço estimado]],""))</f>
        <v>2</v>
      </c>
      <c r="H12" s="28" t="str">
        <f>IF(Tabela1[[#This Row],[Título da atividade]]="","",IF(Tabela1[[#This Row],[Início estimado]]&gt;0,Tabela1[[#This Row],[Início estimado]],""))</f>
        <v/>
      </c>
      <c r="I12" s="28" t="str">
        <f>IF(Tabela1[[#This Row],[Título da atividade]]="","",IF(Tabela1[[#This Row],[Término estimado]]&gt;0,Tabela1[[#This Row],[Término estimado]],""))</f>
        <v/>
      </c>
      <c r="J12" s="24" t="str">
        <f>IF(Tabela1[[#This Row],[Título da atividade]]="","",produto!$H$2)</f>
        <v>Twygo</v>
      </c>
      <c r="K12" s="24" t="str">
        <f>IF(Tabela1[[#This Row],[Título da atividade]]="","",produto!$I$2)</f>
        <v>Twygo</v>
      </c>
      <c r="L12" s="5" t="str">
        <f>IF(Tabela1[[#This Row],[Título da atividade]]="","",IF(Tabela1[[#This Row],[Responsável]]&gt;0,Tabela1[[#This Row],[Responsável]],""))</f>
        <v>Éverton</v>
      </c>
    </row>
    <row r="13" spans="1:12" ht="187.2" x14ac:dyDescent="0.3">
      <c r="A13" s="5">
        <f>IF(Tabela1[[#This Row],[Título da atividade]]="","",produto!$E$2)</f>
        <v>4874953</v>
      </c>
      <c r="B13" s="5">
        <f>IF(Tabela1[[#This Row],[Título da atividade]]="","",produto!$F$2)</f>
        <v>6414890</v>
      </c>
      <c r="C13" s="24" t="str">
        <f>IF(Tabela1[[#This Row],[Título da atividade]]="","",produto!$G$2)</f>
        <v>Backlog</v>
      </c>
      <c r="D13" s="24" t="str">
        <f>IF(Tabela1[[#This Row],[Tipo da atividade]]="","",Tabela1[[#This Row],[Tipo da atividade]])</f>
        <v>Execução de testes</v>
      </c>
      <c r="E13" s="26" t="str">
        <f>IF(Tabela1[[#This Row],[Título da atividade]]=""," ",_xlfn.CONCAT(produto!$D$2,"",Tabela1[[#This Row],[Título da atividade]]))</f>
        <v>[Kit de marca] QA 1.12 - Ações em massa (elegibilidade, escopos, toasts com ratio)</v>
      </c>
      <c r="F13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#R20  e RN 71–75 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3" s="5">
        <f>IF(Tabela1[[#This Row],[Título da atividade]]="","",IF(Tabela1[[#This Row],[Esforço estimado]]&gt;0,Tabela1[[#This Row],[Esforço estimado]],""))</f>
        <v>1</v>
      </c>
      <c r="H13" s="28" t="str">
        <f>IF(Tabela1[[#This Row],[Título da atividade]]="","",IF(Tabela1[[#This Row],[Início estimado]]&gt;0,Tabela1[[#This Row],[Início estimado]],""))</f>
        <v/>
      </c>
      <c r="I13" s="28" t="str">
        <f>IF(Tabela1[[#This Row],[Título da atividade]]="","",IF(Tabela1[[#This Row],[Término estimado]]&gt;0,Tabela1[[#This Row],[Término estimado]],""))</f>
        <v/>
      </c>
      <c r="J13" s="24" t="str">
        <f>IF(Tabela1[[#This Row],[Título da atividade]]="","",produto!$H$2)</f>
        <v>Twygo</v>
      </c>
      <c r="K13" s="24" t="str">
        <f>IF(Tabela1[[#This Row],[Título da atividade]]="","",produto!$I$2)</f>
        <v>Twygo</v>
      </c>
      <c r="L13" s="5" t="str">
        <f>IF(Tabela1[[#This Row],[Título da atividade]]="","",IF(Tabela1[[#This Row],[Responsável]]&gt;0,Tabela1[[#This Row],[Responsável]],""))</f>
        <v>Éverton</v>
      </c>
    </row>
    <row r="14" spans="1:12" ht="187.2" x14ac:dyDescent="0.3">
      <c r="A14" s="5">
        <f>IF(Tabela1[[#This Row],[Título da atividade]]="","",produto!$E$2)</f>
        <v>4874953</v>
      </c>
      <c r="B14" s="5">
        <f>IF(Tabela1[[#This Row],[Título da atividade]]="","",produto!$F$2)</f>
        <v>6414890</v>
      </c>
      <c r="C14" s="24" t="str">
        <f>IF(Tabela1[[#This Row],[Título da atividade]]="","",produto!$G$2)</f>
        <v>Backlog</v>
      </c>
      <c r="D14" s="24" t="str">
        <f>IF(Tabela1[[#This Row],[Tipo da atividade]]="","",Tabela1[[#This Row],[Tipo da atividade]])</f>
        <v>Execução de testes</v>
      </c>
      <c r="E14" s="26" t="str">
        <f>IF(Tabela1[[#This Row],[Título da atividade]]=""," ",_xlfn.CONCAT(produto!$D$2,"",Tabela1[[#This Row],[Título da atividade]]))</f>
        <v>[Kit de marca] QA 1.13 - Extração de dados/evidências (assíncrona, modal de atenção)</v>
      </c>
      <c r="F14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#R21 e RN 76–80 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4" s="5">
        <f>IF(Tabela1[[#This Row],[Título da atividade]]="","",IF(Tabela1[[#This Row],[Esforço estimado]]&gt;0,Tabela1[[#This Row],[Esforço estimado]],""))</f>
        <v>1</v>
      </c>
      <c r="H14" s="28" t="str">
        <f>IF(Tabela1[[#This Row],[Título da atividade]]="","",IF(Tabela1[[#This Row],[Início estimado]]&gt;0,Tabela1[[#This Row],[Início estimado]],""))</f>
        <v/>
      </c>
      <c r="I14" s="28" t="str">
        <f>IF(Tabela1[[#This Row],[Título da atividade]]="","",IF(Tabela1[[#This Row],[Término estimado]]&gt;0,Tabela1[[#This Row],[Término estimado]],""))</f>
        <v/>
      </c>
      <c r="J14" s="24" t="str">
        <f>IF(Tabela1[[#This Row],[Título da atividade]]="","",produto!$H$2)</f>
        <v>Twygo</v>
      </c>
      <c r="K14" s="24" t="str">
        <f>IF(Tabela1[[#This Row],[Título da atividade]]="","",produto!$I$2)</f>
        <v>Twygo</v>
      </c>
      <c r="L14" s="5" t="str">
        <f>IF(Tabela1[[#This Row],[Título da atividade]]="","",IF(Tabela1[[#This Row],[Responsável]]&gt;0,Tabela1[[#This Row],[Responsável]],""))</f>
        <v>Éverton</v>
      </c>
    </row>
    <row r="15" spans="1:12" ht="187.2" x14ac:dyDescent="0.3">
      <c r="A15" s="5">
        <f>IF(Tabela1[[#This Row],[Título da atividade]]="","",produto!$E$2)</f>
        <v>4874953</v>
      </c>
      <c r="B15" s="5">
        <f>IF(Tabela1[[#This Row],[Título da atividade]]="","",produto!$F$2)</f>
        <v>6414890</v>
      </c>
      <c r="C15" s="24" t="str">
        <f>IF(Tabela1[[#This Row],[Título da atividade]]="","",produto!$G$2)</f>
        <v>Backlog</v>
      </c>
      <c r="D15" s="24" t="str">
        <f>IF(Tabela1[[#This Row],[Tipo da atividade]]="","",Tabela1[[#This Row],[Tipo da atividade]])</f>
        <v>Execução de testes</v>
      </c>
      <c r="E15" s="26" t="str">
        <f>IF(Tabela1[[#This Row],[Título da atividade]]=""," ",_xlfn.CONCAT(produto!$D$2,"",Tabela1[[#This Row],[Título da atividade]]))</f>
        <v>[Kit de marca] QA 1.14 - CRUD de Provedores + bloqueio de exclusão com vínculo</v>
      </c>
      <c r="F15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#R22, #R23 e RN 81–87 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5" s="5">
        <f>IF(Tabela1[[#This Row],[Título da atividade]]="","",IF(Tabela1[[#This Row],[Esforço estimado]]&gt;0,Tabela1[[#This Row],[Esforço estimado]],""))</f>
        <v>2</v>
      </c>
      <c r="H15" s="28" t="str">
        <f>IF(Tabela1[[#This Row],[Título da atividade]]="","",IF(Tabela1[[#This Row],[Início estimado]]&gt;0,Tabela1[[#This Row],[Início estimado]],""))</f>
        <v/>
      </c>
      <c r="I15" s="28" t="str">
        <f>IF(Tabela1[[#This Row],[Título da atividade]]="","",IF(Tabela1[[#This Row],[Término estimado]]&gt;0,Tabela1[[#This Row],[Término estimado]],""))</f>
        <v/>
      </c>
      <c r="J15" s="24" t="str">
        <f>IF(Tabela1[[#This Row],[Título da atividade]]="","",produto!$H$2)</f>
        <v>Twygo</v>
      </c>
      <c r="K15" s="24" t="str">
        <f>IF(Tabela1[[#This Row],[Título da atividade]]="","",produto!$I$2)</f>
        <v>Twygo</v>
      </c>
      <c r="L15" s="5" t="str">
        <f>IF(Tabela1[[#This Row],[Título da atividade]]="","",IF(Tabela1[[#This Row],[Responsável]]&gt;0,Tabela1[[#This Row],[Responsável]],""))</f>
        <v>Éverton</v>
      </c>
    </row>
    <row r="16" spans="1:12" ht="187.2" x14ac:dyDescent="0.3">
      <c r="A16" s="5">
        <f>IF(Tabela1[[#This Row],[Título da atividade]]="","",produto!$E$2)</f>
        <v>4874953</v>
      </c>
      <c r="B16" s="5">
        <f>IF(Tabela1[[#This Row],[Título da atividade]]="","",produto!$F$2)</f>
        <v>6414890</v>
      </c>
      <c r="C16" s="24" t="str">
        <f>IF(Tabela1[[#This Row],[Título da atividade]]="","",produto!$G$2)</f>
        <v>Backlog</v>
      </c>
      <c r="D16" s="24" t="str">
        <f>IF(Tabela1[[#This Row],[Tipo da atividade]]="","",Tabela1[[#This Row],[Tipo da atividade]])</f>
        <v>Execução de testes</v>
      </c>
      <c r="E16" s="26" t="str">
        <f>IF(Tabela1[[#This Row],[Título da atividade]]=""," ",_xlfn.CONCAT(produto!$D$2,"",Tabela1[[#This Row],[Título da atividade]]))</f>
        <v xml:space="preserve">[Kit de marca] QA 1.15 - Preenchimento com IA + crédito de IA (3 estados, modais por perfil) </v>
      </c>
      <c r="F16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#R24, #R25 e RN 88–92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6" s="5">
        <f>IF(Tabela1[[#This Row],[Título da atividade]]="","",IF(Tabela1[[#This Row],[Esforço estimado]]&gt;0,Tabela1[[#This Row],[Esforço estimado]],""))</f>
        <v>1</v>
      </c>
      <c r="H16" s="28" t="str">
        <f>IF(Tabela1[[#This Row],[Título da atividade]]="","",IF(Tabela1[[#This Row],[Início estimado]]&gt;0,Tabela1[[#This Row],[Início estimado]],""))</f>
        <v/>
      </c>
      <c r="I16" s="28" t="str">
        <f>IF(Tabela1[[#This Row],[Título da atividade]]="","",IF(Tabela1[[#This Row],[Término estimado]]&gt;0,Tabela1[[#This Row],[Término estimado]],""))</f>
        <v/>
      </c>
      <c r="J16" s="24" t="str">
        <f>IF(Tabela1[[#This Row],[Título da atividade]]="","",produto!$H$2)</f>
        <v>Twygo</v>
      </c>
      <c r="K16" s="24" t="str">
        <f>IF(Tabela1[[#This Row],[Título da atividade]]="","",produto!$I$2)</f>
        <v>Twygo</v>
      </c>
      <c r="L16" s="5" t="str">
        <f>IF(Tabela1[[#This Row],[Título da atividade]]="","",IF(Tabela1[[#This Row],[Responsável]]&gt;0,Tabela1[[#This Row],[Responsável]],""))</f>
        <v>Éverton</v>
      </c>
    </row>
    <row r="17" spans="1:12" ht="187.2" x14ac:dyDescent="0.3">
      <c r="A17" s="5">
        <f>IF(Tabela1[[#This Row],[Título da atividade]]="","",produto!$E$2)</f>
        <v>4874953</v>
      </c>
      <c r="B17" s="5">
        <f>IF(Tabela1[[#This Row],[Título da atividade]]="","",produto!$F$2)</f>
        <v>6414890</v>
      </c>
      <c r="C17" s="24" t="str">
        <f>IF(Tabela1[[#This Row],[Título da atividade]]="","",produto!$G$2)</f>
        <v>Backlog</v>
      </c>
      <c r="D17" s="24" t="str">
        <f>IF(Tabela1[[#This Row],[Tipo da atividade]]="","",Tabela1[[#This Row],[Tipo da atividade]])</f>
        <v>Execução de testes</v>
      </c>
      <c r="E17" s="26" t="str">
        <f>IF(Tabela1[[#This Row],[Título da atividade]]=""," ",_xlfn.CONCAT(produto!$D$2,"",Tabela1[[#This Row],[Título da atividade]]))</f>
        <v xml:space="preserve">[Kit de marca] QA 1.16 - Escopo do Líder, pessoas inativadas, "Compartilhado"  </v>
      </c>
      <c r="F17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#R26, #R27, #R28 e RN 93–98 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7" s="5">
        <f>IF(Tabela1[[#This Row],[Título da atividade]]="","",IF(Tabela1[[#This Row],[Esforço estimado]]&gt;0,Tabela1[[#This Row],[Esforço estimado]],""))</f>
        <v>2</v>
      </c>
      <c r="H17" s="28" t="str">
        <f>IF(Tabela1[[#This Row],[Título da atividade]]="","",IF(Tabela1[[#This Row],[Início estimado]]&gt;0,Tabela1[[#This Row],[Início estimado]],""))</f>
        <v/>
      </c>
      <c r="I17" s="28" t="str">
        <f>IF(Tabela1[[#This Row],[Título da atividade]]="","",IF(Tabela1[[#This Row],[Término estimado]]&gt;0,Tabela1[[#This Row],[Término estimado]],""))</f>
        <v/>
      </c>
      <c r="J17" s="24" t="str">
        <f>IF(Tabela1[[#This Row],[Título da atividade]]="","",produto!$H$2)</f>
        <v>Twygo</v>
      </c>
      <c r="K17" s="24" t="str">
        <f>IF(Tabela1[[#This Row],[Título da atividade]]="","",produto!$I$2)</f>
        <v>Twygo</v>
      </c>
      <c r="L17" s="5" t="str">
        <f>IF(Tabela1[[#This Row],[Título da atividade]]="","",IF(Tabela1[[#This Row],[Responsável]]&gt;0,Tabela1[[#This Row],[Responsável]],""))</f>
        <v/>
      </c>
    </row>
    <row r="18" spans="1:12" ht="187.2" x14ac:dyDescent="0.3">
      <c r="A18" s="5">
        <f>IF(Tabela1[[#This Row],[Título da atividade]]="","",produto!$E$2)</f>
        <v>4874953</v>
      </c>
      <c r="B18" s="5">
        <f>IF(Tabela1[[#This Row],[Título da atividade]]="","",produto!$F$2)</f>
        <v>6414890</v>
      </c>
      <c r="C18" s="24" t="str">
        <f>IF(Tabela1[[#This Row],[Título da atividade]]="","",produto!$G$2)</f>
        <v>Backlog</v>
      </c>
      <c r="D18" s="24" t="str">
        <f>IF(Tabela1[[#This Row],[Tipo da atividade]]="","",Tabela1[[#This Row],[Tipo da atividade]])</f>
        <v>Execução de testes</v>
      </c>
      <c r="E18" s="26" t="str">
        <f>IF(Tabela1[[#This Row],[Título da atividade]]=""," ",_xlfn.CONCAT(produto!$D$2,"",Tabela1[[#This Row],[Título da atividade]]))</f>
        <v>[Kit de marca] QA 1.17 - Extração de dados da "Evidência"</v>
      </c>
      <c r="F18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Não tem regra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8" s="5">
        <f>IF(Tabela1[[#This Row],[Título da atividade]]="","",IF(Tabela1[[#This Row],[Esforço estimado]]&gt;0,Tabela1[[#This Row],[Esforço estimado]],""))</f>
        <v>1</v>
      </c>
      <c r="H18" s="28" t="str">
        <f>IF(Tabela1[[#This Row],[Título da atividade]]="","",IF(Tabela1[[#This Row],[Início estimado]]&gt;0,Tabela1[[#This Row],[Início estimado]],""))</f>
        <v/>
      </c>
      <c r="I18" s="28" t="str">
        <f>IF(Tabela1[[#This Row],[Título da atividade]]="","",IF(Tabela1[[#This Row],[Término estimado]]&gt;0,Tabela1[[#This Row],[Término estimado]],""))</f>
        <v/>
      </c>
      <c r="J18" s="24" t="str">
        <f>IF(Tabela1[[#This Row],[Título da atividade]]="","",produto!$H$2)</f>
        <v>Twygo</v>
      </c>
      <c r="K18" s="24" t="str">
        <f>IF(Tabela1[[#This Row],[Título da atividade]]="","",produto!$I$2)</f>
        <v>Twygo</v>
      </c>
      <c r="L18" s="5" t="str">
        <f>IF(Tabela1[[#This Row],[Título da atividade]]="","",IF(Tabela1[[#This Row],[Responsável]]&gt;0,Tabela1[[#This Row],[Responsável]],""))</f>
        <v/>
      </c>
    </row>
    <row r="19" spans="1:12" ht="230.4" x14ac:dyDescent="0.3">
      <c r="A19" s="5">
        <f>IF(Tabela1[[#This Row],[Título da atividade]]="","",produto!$E$2)</f>
        <v>4874953</v>
      </c>
      <c r="B19" s="5">
        <f>IF(Tabela1[[#This Row],[Título da atividade]]="","",produto!$F$2)</f>
        <v>6414890</v>
      </c>
      <c r="C19" s="24" t="str">
        <f>IF(Tabela1[[#This Row],[Título da atividade]]="","",produto!$G$2)</f>
        <v>Backlog</v>
      </c>
      <c r="D19" s="24" t="str">
        <f>IF(Tabela1[[#This Row],[Tipo da atividade]]="","",Tabela1[[#This Row],[Tipo da atividade]])</f>
        <v>Execução de testes</v>
      </c>
      <c r="E19" s="26" t="str">
        <f>IF(Tabela1[[#This Row],[Título da atividade]]=""," ",_xlfn.CONCAT(produto!$D$2,"",Tabela1[[#This Row],[Título da atividade]]))</f>
        <v>[Kit de marca] QA 1.18 - Tabelas do Banco de Dados</v>
      </c>
      <c r="F19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Tabelas novas: learning_records, learning_providers, learning_record_evidences e learning_record_histories.
Tabelas atualizadas: event_participants, event_sources, filters, filter_options, active_filters, data_exports, export_jobs, organization_ai_credits e ai_consumptions.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9" s="5">
        <f>IF(Tabela1[[#This Row],[Título da atividade]]="","",IF(Tabela1[[#This Row],[Esforço estimado]]&gt;0,Tabela1[[#This Row],[Esforço estimado]],""))</f>
        <v>3</v>
      </c>
      <c r="H19" s="28" t="str">
        <f>IF(Tabela1[[#This Row],[Título da atividade]]="","",IF(Tabela1[[#This Row],[Início estimado]]&gt;0,Tabela1[[#This Row],[Início estimado]],""))</f>
        <v/>
      </c>
      <c r="I19" s="28" t="str">
        <f>IF(Tabela1[[#This Row],[Título da atividade]]="","",IF(Tabela1[[#This Row],[Término estimado]]&gt;0,Tabela1[[#This Row],[Término estimado]],""))</f>
        <v/>
      </c>
      <c r="J19" s="24" t="str">
        <f>IF(Tabela1[[#This Row],[Título da atividade]]="","",produto!$H$2)</f>
        <v>Twygo</v>
      </c>
      <c r="K19" s="24" t="str">
        <f>IF(Tabela1[[#This Row],[Título da atividade]]="","",produto!$I$2)</f>
        <v>Twygo</v>
      </c>
      <c r="L19" s="5" t="str">
        <f>IF(Tabela1[[#This Row],[Título da atividade]]="","",IF(Tabela1[[#This Row],[Responsável]]&gt;0,Tabela1[[#This Row],[Responsável]],""))</f>
        <v>Éverton</v>
      </c>
    </row>
    <row r="20" spans="1:12" ht="302.39999999999998" x14ac:dyDescent="0.3">
      <c r="A20" s="5">
        <f>IF(Tabela1[[#This Row],[Título da atividade]]="","",produto!$E$2)</f>
        <v>4874953</v>
      </c>
      <c r="B20" s="5">
        <f>IF(Tabela1[[#This Row],[Título da atividade]]="","",produto!$F$2)</f>
        <v>6414890</v>
      </c>
      <c r="C20" s="24" t="str">
        <f>IF(Tabela1[[#This Row],[Título da atividade]]="","",produto!$G$2)</f>
        <v>Backlog</v>
      </c>
      <c r="D20" s="24" t="str">
        <f>IF(Tabela1[[#This Row],[Tipo da atividade]]="","",Tabela1[[#This Row],[Tipo da atividade]])</f>
        <v>Execução de testes</v>
      </c>
      <c r="E20" s="26" t="str">
        <f>IF(Tabela1[[#This Row],[Título da atividade]]=""," ",_xlfn.CONCAT(produto!$D$2,"",Tabela1[[#This Row],[Título da atividade]]))</f>
        <v>[Kit de marca] QA 1.19 - Exclusão do Banco Histórico</v>
      </c>
      <c r="F20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Tabelas novas: learning_records, learning_providers, learning_record_evidences e learning_record_histories.
Tabelas atualizadas: event_participants, event_sources, filters, filter_options, active_filters, data_exports, export_jobs, organization_ai_credits e ai_consumptions.
Tabelas de Logs novas: learning_records_logs e learning_providers_logs.
Tabelas de Logs atualizadas: event_sources_logs, event_participant_logs, certificates_logs e ai_credit_consumption_breakdowns.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20" s="5">
        <f>IF(Tabela1[[#This Row],[Título da atividade]]="","",IF(Tabela1[[#This Row],[Esforço estimado]]&gt;0,Tabela1[[#This Row],[Esforço estimado]],""))</f>
        <v>1</v>
      </c>
      <c r="H20" s="28" t="str">
        <f>IF(Tabela1[[#This Row],[Título da atividade]]="","",IF(Tabela1[[#This Row],[Início estimado]]&gt;0,Tabela1[[#This Row],[Início estimado]],""))</f>
        <v/>
      </c>
      <c r="I20" s="28" t="str">
        <f>IF(Tabela1[[#This Row],[Título da atividade]]="","",IF(Tabela1[[#This Row],[Término estimado]]&gt;0,Tabela1[[#This Row],[Término estimado]],""))</f>
        <v/>
      </c>
      <c r="J20" s="24" t="str">
        <f>IF(Tabela1[[#This Row],[Título da atividade]]="","",produto!$H$2)</f>
        <v>Twygo</v>
      </c>
      <c r="K20" s="24" t="str">
        <f>IF(Tabela1[[#This Row],[Título da atividade]]="","",produto!$I$2)</f>
        <v>Twygo</v>
      </c>
      <c r="L20" s="5" t="str">
        <f>IF(Tabela1[[#This Row],[Título da atividade]]="","",IF(Tabela1[[#This Row],[Responsável]]&gt;0,Tabela1[[#This Row],[Responsável]],""))</f>
        <v/>
      </c>
    </row>
    <row r="21" spans="1:12" ht="230.4" x14ac:dyDescent="0.3">
      <c r="A21" s="5">
        <f>IF(Tabela1[[#This Row],[Título da atividade]]="","",produto!$E$2)</f>
        <v>4874953</v>
      </c>
      <c r="B21" s="5">
        <f>IF(Tabela1[[#This Row],[Título da atividade]]="","",produto!$F$2)</f>
        <v>6414890</v>
      </c>
      <c r="C21" s="24" t="str">
        <f>IF(Tabela1[[#This Row],[Título da atividade]]="","",produto!$G$2)</f>
        <v>Backlog</v>
      </c>
      <c r="D21" s="24" t="str">
        <f>IF(Tabela1[[#This Row],[Tipo da atividade]]="","",Tabela1[[#This Row],[Tipo da atividade]])</f>
        <v>Execução de testes</v>
      </c>
      <c r="E21" s="26" t="str">
        <f>IF(Tabela1[[#This Row],[Título da atividade]]=""," ",_xlfn.CONCAT(produto!$D$2,"",Tabela1[[#This Row],[Título da atividade]]))</f>
        <v>[Kit de marca] QA 1.20 - Tabela de Logs</v>
      </c>
      <c r="F21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Tabelas de Logs novas: learning_records_logs e learning_providers_logs.
Tabelas de Logs atualizadas: event_sources_logs, event_participant_logs, certificates_logs e ai_credit_consumption_breakdowns.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21" s="5">
        <f>IF(Tabela1[[#This Row],[Título da atividade]]="","",IF(Tabela1[[#This Row],[Esforço estimado]]&gt;0,Tabela1[[#This Row],[Esforço estimado]],""))</f>
        <v>1</v>
      </c>
      <c r="H21" s="28" t="str">
        <f>IF(Tabela1[[#This Row],[Título da atividade]]="","",IF(Tabela1[[#This Row],[Início estimado]]&gt;0,Tabela1[[#This Row],[Início estimado]],""))</f>
        <v/>
      </c>
      <c r="I21" s="28" t="str">
        <f>IF(Tabela1[[#This Row],[Título da atividade]]="","",IF(Tabela1[[#This Row],[Término estimado]]&gt;0,Tabela1[[#This Row],[Término estimado]],""))</f>
        <v/>
      </c>
      <c r="J21" s="24" t="str">
        <f>IF(Tabela1[[#This Row],[Título da atividade]]="","",produto!$H$2)</f>
        <v>Twygo</v>
      </c>
      <c r="K21" s="24" t="str">
        <f>IF(Tabela1[[#This Row],[Título da atividade]]="","",produto!$I$2)</f>
        <v>Twygo</v>
      </c>
      <c r="L21" s="5" t="str">
        <f>IF(Tabela1[[#This Row],[Título da atividade]]="","",IF(Tabela1[[#This Row],[Responsável]]&gt;0,Tabela1[[#This Row],[Responsável]],""))</f>
        <v>Éverton</v>
      </c>
    </row>
    <row r="22" spans="1:12" ht="273.60000000000002" x14ac:dyDescent="0.3">
      <c r="A22" s="5">
        <f>IF(Tabela1[[#This Row],[Título da atividade]]="","",produto!$E$2)</f>
        <v>4874953</v>
      </c>
      <c r="B22" s="5">
        <f>IF(Tabela1[[#This Row],[Título da atividade]]="","",produto!$F$2)</f>
        <v>6414890</v>
      </c>
      <c r="C22" s="24" t="str">
        <f>IF(Tabela1[[#This Row],[Título da atividade]]="","",produto!$G$2)</f>
        <v>Backlog</v>
      </c>
      <c r="D22" s="24" t="str">
        <f>IF(Tabela1[[#This Row],[Tipo da atividade]]="","",Tabela1[[#This Row],[Tipo da atividade]])</f>
        <v>Execução de testes</v>
      </c>
      <c r="E22" s="26" t="str">
        <f>IF(Tabela1[[#This Row],[Título da atividade]]=""," ",_xlfn.CONCAT(produto!$D$2,"",Tabela1[[#This Row],[Título da atividade]]))</f>
        <v>[Kit de marca] QA 1.21 -  Trial</v>
      </c>
      <c r="F22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Repasse para criação de trial (via URL e API)
    URL: https://stage.twygoead.com/new/register/steps?1
    API: https://stage.twygo.com/api/v2/external_onboarding
Repasse nas exclusões de trial
    Todas as informações pré-definidas da SophiaTech
    Todas informações (pré-definidas e criadas pelos administradores)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22" s="5">
        <f>IF(Tabela1[[#This Row],[Título da atividade]]="","",IF(Tabela1[[#This Row],[Esforço estimado]]&gt;0,Tabela1[[#This Row],[Esforço estimado]],""))</f>
        <v>1</v>
      </c>
      <c r="H22" s="28" t="str">
        <f>IF(Tabela1[[#This Row],[Título da atividade]]="","",IF(Tabela1[[#This Row],[Início estimado]]&gt;0,Tabela1[[#This Row],[Início estimado]],""))</f>
        <v/>
      </c>
      <c r="I22" s="28" t="str">
        <f>IF(Tabela1[[#This Row],[Título da atividade]]="","",IF(Tabela1[[#This Row],[Término estimado]]&gt;0,Tabela1[[#This Row],[Término estimado]],""))</f>
        <v/>
      </c>
      <c r="J22" s="24" t="str">
        <f>IF(Tabela1[[#This Row],[Título da atividade]]="","",produto!$H$2)</f>
        <v>Twygo</v>
      </c>
      <c r="K22" s="24" t="str">
        <f>IF(Tabela1[[#This Row],[Título da atividade]]="","",produto!$I$2)</f>
        <v>Twygo</v>
      </c>
      <c r="L22" s="5" t="str">
        <f>IF(Tabela1[[#This Row],[Título da atividade]]="","",IF(Tabela1[[#This Row],[Responsável]]&gt;0,Tabela1[[#This Row],[Responsável]],""))</f>
        <v>Éverton</v>
      </c>
    </row>
    <row r="23" spans="1:12" ht="187.2" x14ac:dyDescent="0.3">
      <c r="A23" s="5">
        <f>IF(Tabela1[[#This Row],[Título da atividade]]="","",produto!$E$2)</f>
        <v>4874953</v>
      </c>
      <c r="B23" s="5">
        <f>IF(Tabela1[[#This Row],[Título da atividade]]="","",produto!$F$2)</f>
        <v>6414890</v>
      </c>
      <c r="C23" s="24" t="str">
        <f>IF(Tabela1[[#This Row],[Título da atividade]]="","",produto!$G$2)</f>
        <v>Backlog</v>
      </c>
      <c r="D23" s="24" t="str">
        <f>IF(Tabela1[[#This Row],[Tipo da atividade]]="","",Tabela1[[#This Row],[Tipo da atividade]])</f>
        <v>Execução de testes</v>
      </c>
      <c r="E23" s="26" t="str">
        <f>IF(Tabela1[[#This Row],[Título da atividade]]=""," ",_xlfn.CONCAT(produto!$D$2,"",Tabela1[[#This Row],[Título da atividade]]))</f>
        <v>[Kit de marca] QA 1.22 - BETA/Launch</v>
      </c>
      <c r="F23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Validar o BETA/Launch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23" s="5">
        <f>IF(Tabela1[[#This Row],[Título da atividade]]="","",IF(Tabela1[[#This Row],[Esforço estimado]]&gt;0,Tabela1[[#This Row],[Esforço estimado]],""))</f>
        <v>2</v>
      </c>
      <c r="H23" s="28" t="str">
        <f>IF(Tabela1[[#This Row],[Título da atividade]]="","",IF(Tabela1[[#This Row],[Início estimado]]&gt;0,Tabela1[[#This Row],[Início estimado]],""))</f>
        <v/>
      </c>
      <c r="I23" s="28" t="str">
        <f>IF(Tabela1[[#This Row],[Título da atividade]]="","",IF(Tabela1[[#This Row],[Término estimado]]&gt;0,Tabela1[[#This Row],[Término estimado]],""))</f>
        <v/>
      </c>
      <c r="J23" s="24" t="str">
        <f>IF(Tabela1[[#This Row],[Título da atividade]]="","",produto!$H$2)</f>
        <v>Twygo</v>
      </c>
      <c r="K23" s="24" t="str">
        <f>IF(Tabela1[[#This Row],[Título da atividade]]="","",produto!$I$2)</f>
        <v>Twygo</v>
      </c>
      <c r="L23" s="5" t="str">
        <f>IF(Tabela1[[#This Row],[Título da atividade]]="","",IF(Tabela1[[#This Row],[Responsável]]&gt;0,Tabela1[[#This Row],[Responsável]],""))</f>
        <v>Éverton</v>
      </c>
    </row>
    <row r="24" spans="1:12" x14ac:dyDescent="0.3">
      <c r="A24" s="5" t="e">
        <f>IF(Tabela1[[#This Row],[Título da atividade]]="","",produto!$E$2)</f>
        <v>#VALUE!</v>
      </c>
      <c r="B24" s="5" t="e">
        <f>IF(Tabela1[[#This Row],[Título da atividade]]="","",produto!$F$2)</f>
        <v>#VALUE!</v>
      </c>
      <c r="C24" s="24" t="e">
        <f>IF(Tabela1[[#This Row],[Título da atividade]]="","",produto!$G$2)</f>
        <v>#VALUE!</v>
      </c>
      <c r="D24" s="24" t="e">
        <f>IF(Tabela1[[#This Row],[Tipo da atividade]]="","",Tabela1[[#This Row],[Tipo da atividade]])</f>
        <v>#VALUE!</v>
      </c>
      <c r="E24" s="26" t="e">
        <f>IF(Tabela1[[#This Row],[Título da atividade]]=""," ",_xlfn.CONCAT(produto!$D$2,"",Tabela1[[#This Row],[Título da atividade]]))</f>
        <v>#VALUE!</v>
      </c>
      <c r="F24" s="26" t="e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#VALUE!</v>
      </c>
      <c r="G24" s="5" t="e">
        <f>IF(Tabela1[[#This Row],[Título da atividade]]="","",IF(Tabela1[[#This Row],[Esforço estimado]]&gt;0,Tabela1[[#This Row],[Esforço estimado]],""))</f>
        <v>#VALUE!</v>
      </c>
      <c r="H24" s="28" t="e">
        <f>IF(Tabela1[[#This Row],[Título da atividade]]="","",IF(Tabela1[[#This Row],[Início estimado]]&gt;0,Tabela1[[#This Row],[Início estimado]],""))</f>
        <v>#VALUE!</v>
      </c>
      <c r="I24" s="28" t="e">
        <f>IF(Tabela1[[#This Row],[Título da atividade]]="","",IF(Tabela1[[#This Row],[Término estimado]]&gt;0,Tabela1[[#This Row],[Término estimado]],""))</f>
        <v>#VALUE!</v>
      </c>
      <c r="J24" s="24" t="e">
        <f>IF(Tabela1[[#This Row],[Título da atividade]]="","",produto!$H$2)</f>
        <v>#VALUE!</v>
      </c>
      <c r="K24" s="24" t="e">
        <f>IF(Tabela1[[#This Row],[Título da atividade]]="","",produto!$I$2)</f>
        <v>#VALUE!</v>
      </c>
      <c r="L24" s="5" t="e">
        <f>IF(Tabela1[[#This Row],[Título da atividade]]="","",IF(Tabela1[[#This Row],[Responsável]]&gt;0,Tabela1[[#This Row],[Responsável]],""))</f>
        <v>#VALUE!</v>
      </c>
    </row>
    <row r="25" spans="1:12" x14ac:dyDescent="0.3">
      <c r="A25" s="5" t="e">
        <f>IF(Tabela1[[#This Row],[Título da atividade]]="","",produto!$E$2)</f>
        <v>#VALUE!</v>
      </c>
      <c r="B25" s="5" t="e">
        <f>IF(Tabela1[[#This Row],[Título da atividade]]="","",produto!$F$2)</f>
        <v>#VALUE!</v>
      </c>
      <c r="C25" s="24" t="e">
        <f>IF(Tabela1[[#This Row],[Título da atividade]]="","",produto!$G$2)</f>
        <v>#VALUE!</v>
      </c>
      <c r="D25" s="24" t="e">
        <f>IF(Tabela1[[#This Row],[Tipo da atividade]]="","",Tabela1[[#This Row],[Tipo da atividade]])</f>
        <v>#VALUE!</v>
      </c>
      <c r="E25" s="26" t="e">
        <f>IF(Tabela1[[#This Row],[Título da atividade]]=""," ",_xlfn.CONCAT(produto!$D$2,"",Tabela1[[#This Row],[Título da atividade]]))</f>
        <v>#VALUE!</v>
      </c>
      <c r="F25" s="26" t="e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#VALUE!</v>
      </c>
      <c r="G25" s="5" t="e">
        <f>IF(Tabela1[[#This Row],[Título da atividade]]="","",IF(Tabela1[[#This Row],[Esforço estimado]]&gt;0,Tabela1[[#This Row],[Esforço estimado]],""))</f>
        <v>#VALUE!</v>
      </c>
      <c r="H25" s="28" t="e">
        <f>IF(Tabela1[[#This Row],[Título da atividade]]="","",IF(Tabela1[[#This Row],[Início estimado]]&gt;0,Tabela1[[#This Row],[Início estimado]],""))</f>
        <v>#VALUE!</v>
      </c>
      <c r="I25" s="28" t="e">
        <f>IF(Tabela1[[#This Row],[Título da atividade]]="","",IF(Tabela1[[#This Row],[Término estimado]]&gt;0,Tabela1[[#This Row],[Término estimado]],""))</f>
        <v>#VALUE!</v>
      </c>
      <c r="J25" s="24" t="e">
        <f>IF(Tabela1[[#This Row],[Título da atividade]]="","",produto!$H$2)</f>
        <v>#VALUE!</v>
      </c>
      <c r="K25" s="24" t="e">
        <f>IF(Tabela1[[#This Row],[Título da atividade]]="","",produto!$I$2)</f>
        <v>#VALUE!</v>
      </c>
      <c r="L25" s="5" t="e">
        <f>IF(Tabela1[[#This Row],[Título da atividade]]="","",IF(Tabela1[[#This Row],[Responsável]]&gt;0,Tabela1[[#This Row],[Responsável]],""))</f>
        <v>#VALUE!</v>
      </c>
    </row>
    <row r="26" spans="1:12" x14ac:dyDescent="0.3">
      <c r="A26" s="5" t="e">
        <f>IF(Tabela1[[#This Row],[Título da atividade]]="","",produto!$E$2)</f>
        <v>#VALUE!</v>
      </c>
      <c r="B26" s="5" t="e">
        <f>IF(Tabela1[[#This Row],[Título da atividade]]="","",produto!$F$2)</f>
        <v>#VALUE!</v>
      </c>
      <c r="C26" s="24" t="e">
        <f>IF(Tabela1[[#This Row],[Título da atividade]]="","",produto!$G$2)</f>
        <v>#VALUE!</v>
      </c>
      <c r="D26" s="24" t="e">
        <f>IF(Tabela1[[#This Row],[Tipo da atividade]]="","",Tabela1[[#This Row],[Tipo da atividade]])</f>
        <v>#VALUE!</v>
      </c>
      <c r="E26" s="26" t="e">
        <f>IF(Tabela1[[#This Row],[Título da atividade]]=""," ",_xlfn.CONCAT(produto!$D$2,"",Tabela1[[#This Row],[Título da atividade]]))</f>
        <v>#VALUE!</v>
      </c>
      <c r="F26" s="26" t="e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#VALUE!</v>
      </c>
      <c r="G26" s="5" t="e">
        <f>IF(Tabela1[[#This Row],[Título da atividade]]="","",IF(Tabela1[[#This Row],[Esforço estimado]]&gt;0,Tabela1[[#This Row],[Esforço estimado]],""))</f>
        <v>#VALUE!</v>
      </c>
      <c r="H26" s="28" t="e">
        <f>IF(Tabela1[[#This Row],[Título da atividade]]="","",IF(Tabela1[[#This Row],[Início estimado]]&gt;0,Tabela1[[#This Row],[Início estimado]],""))</f>
        <v>#VALUE!</v>
      </c>
      <c r="I26" s="28" t="e">
        <f>IF(Tabela1[[#This Row],[Título da atividade]]="","",IF(Tabela1[[#This Row],[Término estimado]]&gt;0,Tabela1[[#This Row],[Término estimado]],""))</f>
        <v>#VALUE!</v>
      </c>
      <c r="J26" s="24" t="e">
        <f>IF(Tabela1[[#This Row],[Título da atividade]]="","",produto!$H$2)</f>
        <v>#VALUE!</v>
      </c>
      <c r="K26" s="24" t="e">
        <f>IF(Tabela1[[#This Row],[Título da atividade]]="","",produto!$I$2)</f>
        <v>#VALUE!</v>
      </c>
      <c r="L26" s="5" t="e">
        <f>IF(Tabela1[[#This Row],[Título da atividade]]="","",IF(Tabela1[[#This Row],[Responsável]]&gt;0,Tabela1[[#This Row],[Responsável]],""))</f>
        <v>#VALUE!</v>
      </c>
    </row>
    <row r="27" spans="1:12" x14ac:dyDescent="0.3">
      <c r="A27" s="5" t="e">
        <f>IF(Tabela1[[#This Row],[Título da atividade]]="","",produto!$E$2)</f>
        <v>#VALUE!</v>
      </c>
      <c r="B27" s="5" t="e">
        <f>IF(Tabela1[[#This Row],[Título da atividade]]="","",produto!$F$2)</f>
        <v>#VALUE!</v>
      </c>
      <c r="C27" s="24" t="e">
        <f>IF(Tabela1[[#This Row],[Título da atividade]]="","",produto!$G$2)</f>
        <v>#VALUE!</v>
      </c>
      <c r="D27" s="24" t="e">
        <f>IF(Tabela1[[#This Row],[Tipo da atividade]]="","",Tabela1[[#This Row],[Tipo da atividade]])</f>
        <v>#VALUE!</v>
      </c>
      <c r="E27" s="26" t="e">
        <f>IF(Tabela1[[#This Row],[Título da atividade]]=""," ",_xlfn.CONCAT(produto!$D$2,"",Tabela1[[#This Row],[Título da atividade]]))</f>
        <v>#VALUE!</v>
      </c>
      <c r="F27" s="26" t="e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#VALUE!</v>
      </c>
      <c r="G27" s="5" t="e">
        <f>IF(Tabela1[[#This Row],[Título da atividade]]="","",IF(Tabela1[[#This Row],[Esforço estimado]]&gt;0,Tabela1[[#This Row],[Esforço estimado]],""))</f>
        <v>#VALUE!</v>
      </c>
      <c r="H27" s="28" t="e">
        <f>IF(Tabela1[[#This Row],[Título da atividade]]="","",IF(Tabela1[[#This Row],[Início estimado]]&gt;0,Tabela1[[#This Row],[Início estimado]],""))</f>
        <v>#VALUE!</v>
      </c>
      <c r="I27" s="28" t="e">
        <f>IF(Tabela1[[#This Row],[Título da atividade]]="","",IF(Tabela1[[#This Row],[Término estimado]]&gt;0,Tabela1[[#This Row],[Término estimado]],""))</f>
        <v>#VALUE!</v>
      </c>
      <c r="J27" s="24" t="e">
        <f>IF(Tabela1[[#This Row],[Título da atividade]]="","",produto!$H$2)</f>
        <v>#VALUE!</v>
      </c>
      <c r="K27" s="24" t="e">
        <f>IF(Tabela1[[#This Row],[Título da atividade]]="","",produto!$I$2)</f>
        <v>#VALUE!</v>
      </c>
      <c r="L27" s="5" t="e">
        <f>IF(Tabela1[[#This Row],[Título da atividade]]="","",IF(Tabela1[[#This Row],[Responsável]]&gt;0,Tabela1[[#This Row],[Responsável]],""))</f>
        <v>#VALUE!</v>
      </c>
    </row>
    <row r="28" spans="1:12" x14ac:dyDescent="0.3">
      <c r="A28" s="5" t="e">
        <f>IF(Tabela1[[#This Row],[Título da atividade]]="","",produto!$E$2)</f>
        <v>#VALUE!</v>
      </c>
      <c r="B28" s="5" t="e">
        <f>IF(Tabela1[[#This Row],[Título da atividade]]="","",produto!$F$2)</f>
        <v>#VALUE!</v>
      </c>
      <c r="C28" s="24" t="e">
        <f>IF(Tabela1[[#This Row],[Título da atividade]]="","",produto!$G$2)</f>
        <v>#VALUE!</v>
      </c>
      <c r="D28" s="24" t="e">
        <f>IF(Tabela1[[#This Row],[Tipo da atividade]]="","",Tabela1[[#This Row],[Tipo da atividade]])</f>
        <v>#VALUE!</v>
      </c>
      <c r="E28" s="26" t="e">
        <f>IF(Tabela1[[#This Row],[Título da atividade]]=""," ",_xlfn.CONCAT(produto!$D$2,"",Tabela1[[#This Row],[Título da atividade]]))</f>
        <v>#VALUE!</v>
      </c>
      <c r="F28" s="26" t="e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#VALUE!</v>
      </c>
      <c r="G28" s="5" t="e">
        <f>IF(Tabela1[[#This Row],[Título da atividade]]="","",IF(Tabela1[[#This Row],[Esforço estimado]]&gt;0,Tabela1[[#This Row],[Esforço estimado]],""))</f>
        <v>#VALUE!</v>
      </c>
      <c r="H28" s="28" t="e">
        <f>IF(Tabela1[[#This Row],[Título da atividade]]="","",IF(Tabela1[[#This Row],[Início estimado]]&gt;0,Tabela1[[#This Row],[Início estimado]],""))</f>
        <v>#VALUE!</v>
      </c>
      <c r="I28" s="28" t="e">
        <f>IF(Tabela1[[#This Row],[Título da atividade]]="","",IF(Tabela1[[#This Row],[Término estimado]]&gt;0,Tabela1[[#This Row],[Término estimado]],""))</f>
        <v>#VALUE!</v>
      </c>
      <c r="J28" s="24" t="e">
        <f>IF(Tabela1[[#This Row],[Título da atividade]]="","",produto!$H$2)</f>
        <v>#VALUE!</v>
      </c>
      <c r="K28" s="24" t="e">
        <f>IF(Tabela1[[#This Row],[Título da atividade]]="","",produto!$I$2)</f>
        <v>#VALUE!</v>
      </c>
      <c r="L28" s="5" t="e">
        <f>IF(Tabela1[[#This Row],[Título da atividade]]="","",IF(Tabela1[[#This Row],[Responsável]]&gt;0,Tabela1[[#This Row],[Responsável]],""))</f>
        <v>#VALUE!</v>
      </c>
    </row>
    <row r="29" spans="1:12" x14ac:dyDescent="0.3">
      <c r="A29" s="5" t="e">
        <f>IF(Tabela1[[#This Row],[Título da atividade]]="","",produto!$E$2)</f>
        <v>#VALUE!</v>
      </c>
      <c r="B29" s="5" t="e">
        <f>IF(Tabela1[[#This Row],[Título da atividade]]="","",produto!$F$2)</f>
        <v>#VALUE!</v>
      </c>
      <c r="C29" s="24" t="e">
        <f>IF(Tabela1[[#This Row],[Título da atividade]]="","",produto!$G$2)</f>
        <v>#VALUE!</v>
      </c>
      <c r="D29" s="24" t="e">
        <f>IF(Tabela1[[#This Row],[Tipo da atividade]]="","",Tabela1[[#This Row],[Tipo da atividade]])</f>
        <v>#VALUE!</v>
      </c>
      <c r="E29" s="26" t="e">
        <f>IF(Tabela1[[#This Row],[Título da atividade]]=""," ",_xlfn.CONCAT(produto!$D$2,"",Tabela1[[#This Row],[Título da atividade]]))</f>
        <v>#VALUE!</v>
      </c>
      <c r="F29" s="26" t="e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#VALUE!</v>
      </c>
      <c r="G29" s="5" t="e">
        <f>IF(Tabela1[[#This Row],[Título da atividade]]="","",IF(Tabela1[[#This Row],[Esforço estimado]]&gt;0,Tabela1[[#This Row],[Esforço estimado]],""))</f>
        <v>#VALUE!</v>
      </c>
      <c r="H29" s="28" t="e">
        <f>IF(Tabela1[[#This Row],[Título da atividade]]="","",IF(Tabela1[[#This Row],[Início estimado]]&gt;0,Tabela1[[#This Row],[Início estimado]],""))</f>
        <v>#VALUE!</v>
      </c>
      <c r="I29" s="28" t="e">
        <f>IF(Tabela1[[#This Row],[Título da atividade]]="","",IF(Tabela1[[#This Row],[Término estimado]]&gt;0,Tabela1[[#This Row],[Término estimado]],""))</f>
        <v>#VALUE!</v>
      </c>
      <c r="J29" s="24" t="e">
        <f>IF(Tabela1[[#This Row],[Título da atividade]]="","",produto!$H$2)</f>
        <v>#VALUE!</v>
      </c>
      <c r="K29" s="24" t="e">
        <f>IF(Tabela1[[#This Row],[Título da atividade]]="","",produto!$I$2)</f>
        <v>#VALUE!</v>
      </c>
      <c r="L29" s="5" t="e">
        <f>IF(Tabela1[[#This Row],[Título da atividade]]="","",IF(Tabela1[[#This Row],[Responsável]]&gt;0,Tabela1[[#This Row],[Responsável]],""))</f>
        <v>#VALUE!</v>
      </c>
    </row>
    <row r="30" spans="1:12" x14ac:dyDescent="0.3">
      <c r="A30" s="5" t="e">
        <f>IF(Tabela1[[#This Row],[Título da atividade]]="","",produto!$E$2)</f>
        <v>#VALUE!</v>
      </c>
      <c r="B30" s="5" t="e">
        <f>IF(Tabela1[[#This Row],[Título da atividade]]="","",produto!$F$2)</f>
        <v>#VALUE!</v>
      </c>
      <c r="C30" s="24" t="e">
        <f>IF(Tabela1[[#This Row],[Título da atividade]]="","",produto!$G$2)</f>
        <v>#VALUE!</v>
      </c>
      <c r="D30" s="24" t="e">
        <f>IF(Tabela1[[#This Row],[Tipo da atividade]]="","",Tabela1[[#This Row],[Tipo da atividade]])</f>
        <v>#VALUE!</v>
      </c>
      <c r="E30" s="26" t="e">
        <f>IF(Tabela1[[#This Row],[Título da atividade]]=""," ",_xlfn.CONCAT(produto!$D$2,"",Tabela1[[#This Row],[Título da atividade]]))</f>
        <v>#VALUE!</v>
      </c>
      <c r="F30" s="26" t="e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#VALUE!</v>
      </c>
      <c r="G30" s="5" t="e">
        <f>IF(Tabela1[[#This Row],[Título da atividade]]="","",IF(Tabela1[[#This Row],[Esforço estimado]]&gt;0,Tabela1[[#This Row],[Esforço estimado]],""))</f>
        <v>#VALUE!</v>
      </c>
      <c r="H30" s="28" t="e">
        <f>IF(Tabela1[[#This Row],[Título da atividade]]="","",IF(Tabela1[[#This Row],[Início estimado]]&gt;0,Tabela1[[#This Row],[Início estimado]],""))</f>
        <v>#VALUE!</v>
      </c>
      <c r="I30" s="28" t="e">
        <f>IF(Tabela1[[#This Row],[Título da atividade]]="","",IF(Tabela1[[#This Row],[Término estimado]]&gt;0,Tabela1[[#This Row],[Término estimado]],""))</f>
        <v>#VALUE!</v>
      </c>
      <c r="J30" s="24" t="e">
        <f>IF(Tabela1[[#This Row],[Título da atividade]]="","",produto!$H$2)</f>
        <v>#VALUE!</v>
      </c>
      <c r="K30" s="24" t="e">
        <f>IF(Tabela1[[#This Row],[Título da atividade]]="","",produto!$I$2)</f>
        <v>#VALUE!</v>
      </c>
      <c r="L30" s="5" t="e">
        <f>IF(Tabela1[[#This Row],[Título da atividade]]="","",IF(Tabela1[[#This Row],[Responsável]]&gt;0,Tabela1[[#This Row],[Responsável]],""))</f>
        <v>#VALUE!</v>
      </c>
    </row>
    <row r="31" spans="1:12" x14ac:dyDescent="0.3">
      <c r="A31" s="5" t="e">
        <f>IF(Tabela1[[#This Row],[Título da atividade]]="","",produto!$E$2)</f>
        <v>#VALUE!</v>
      </c>
      <c r="B31" s="5" t="e">
        <f>IF(Tabela1[[#This Row],[Título da atividade]]="","",produto!$F$2)</f>
        <v>#VALUE!</v>
      </c>
      <c r="C31" s="24" t="e">
        <f>IF(Tabela1[[#This Row],[Título da atividade]]="","",produto!$G$2)</f>
        <v>#VALUE!</v>
      </c>
      <c r="D31" s="24" t="e">
        <f>IF(Tabela1[[#This Row],[Tipo da atividade]]="","",Tabela1[[#This Row],[Tipo da atividade]])</f>
        <v>#VALUE!</v>
      </c>
      <c r="E31" s="26" t="e">
        <f>IF(Tabela1[[#This Row],[Título da atividade]]=""," ",_xlfn.CONCAT(produto!$D$2,"",Tabela1[[#This Row],[Título da atividade]]))</f>
        <v>#VALUE!</v>
      </c>
      <c r="F31" s="26" t="e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#VALUE!</v>
      </c>
      <c r="G31" s="5" t="e">
        <f>IF(Tabela1[[#This Row],[Título da atividade]]="","",IF(Tabela1[[#This Row],[Esforço estimado]]&gt;0,Tabela1[[#This Row],[Esforço estimado]],""))</f>
        <v>#VALUE!</v>
      </c>
      <c r="H31" s="28" t="e">
        <f>IF(Tabela1[[#This Row],[Título da atividade]]="","",IF(Tabela1[[#This Row],[Início estimado]]&gt;0,Tabela1[[#This Row],[Início estimado]],""))</f>
        <v>#VALUE!</v>
      </c>
      <c r="I31" s="28" t="e">
        <f>IF(Tabela1[[#This Row],[Título da atividade]]="","",IF(Tabela1[[#This Row],[Término estimado]]&gt;0,Tabela1[[#This Row],[Término estimado]],""))</f>
        <v>#VALUE!</v>
      </c>
      <c r="J31" s="24" t="e">
        <f>IF(Tabela1[[#This Row],[Título da atividade]]="","",produto!$H$2)</f>
        <v>#VALUE!</v>
      </c>
      <c r="K31" s="24" t="e">
        <f>IF(Tabela1[[#This Row],[Título da atividade]]="","",produto!$I$2)</f>
        <v>#VALUE!</v>
      </c>
      <c r="L31" s="5" t="e">
        <f>IF(Tabela1[[#This Row],[Título da atividade]]="","",IF(Tabela1[[#This Row],[Responsável]]&gt;0,Tabela1[[#This Row],[Responsável]],""))</f>
        <v>#VALUE!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1BA87DF5D2FA4A99CD6715309BF425" ma:contentTypeVersion="15" ma:contentTypeDescription="Crie um novo documento." ma:contentTypeScope="" ma:versionID="d2d4cce11daba0a716e0bcc0ea60c7eb">
  <xsd:schema xmlns:xsd="http://www.w3.org/2001/XMLSchema" xmlns:xs="http://www.w3.org/2001/XMLSchema" xmlns:p="http://schemas.microsoft.com/office/2006/metadata/properties" xmlns:ns2="64eb9238-230c-4fe8-89a0-3a9d73b53ddc" xmlns:ns3="46ee27cc-b01e-4dfb-a17a-85b86442d300" targetNamespace="http://schemas.microsoft.com/office/2006/metadata/properties" ma:root="true" ma:fieldsID="97749ad7b69efbf6536eed6d792e232a" ns2:_="" ns3:_="">
    <xsd:import namespace="64eb9238-230c-4fe8-89a0-3a9d73b53ddc"/>
    <xsd:import namespace="46ee27cc-b01e-4dfb-a17a-85b86442d3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eb9238-230c-4fe8-89a0-3a9d73b53d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ec1a758-647a-4997-b834-9f48ba9e07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e27cc-b01e-4dfb-a17a-85b86442d30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eb9238-230c-4fe8-89a0-3a9d73b53d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4B9308-C011-4A7B-9FB9-2282970477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eb9238-230c-4fe8-89a0-3a9d73b53ddc"/>
    <ds:schemaRef ds:uri="46ee27cc-b01e-4dfb-a17a-85b86442d3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3B1A36-B6B9-426D-BB61-0E6991AF87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DF8591-ACE9-407E-BA28-50FD755113CA}">
  <ds:schemaRefs>
    <ds:schemaRef ds:uri="http://schemas.microsoft.com/office/2006/metadata/properties"/>
    <ds:schemaRef ds:uri="http://schemas.microsoft.com/office/infopath/2007/PartnerControls"/>
    <ds:schemaRef ds:uri="64eb9238-230c-4fe8-89a0-3a9d73b53d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</vt:lpstr>
      <vt:lpstr>dev-qa</vt:lpstr>
      <vt:lpstr>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Everton Gambeta</cp:lastModifiedBy>
  <cp:revision/>
  <dcterms:created xsi:type="dcterms:W3CDTF">2026-01-26T14:16:39Z</dcterms:created>
  <dcterms:modified xsi:type="dcterms:W3CDTF">2026-06-03T18:28:11Z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0x010100CB1BA87DF5D2FA4A99CD6715309BF425</vt:lpwstr>
  </property>
  <property fmtid="{D5CDD505-2E9C-101B-9397-08002B2CF9AE}" pid="3" name="MediaServiceImageTags">
    <vt:lpwstr/>
  </property>
</Properties>
</file>