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472f187c2d3a4a/Documentos/Projetos/! Modelo/"/>
    </mc:Choice>
  </mc:AlternateContent>
  <xr:revisionPtr revIDLastSave="1043" documentId="8_{2BF528AA-DEDB-4BBA-91AA-878EA3902527}" xr6:coauthVersionLast="47" xr6:coauthVersionMax="47" xr10:uidLastSave="{2C4BC1C5-999F-480D-945F-319E4C2A7453}"/>
  <bookViews>
    <workbookView xWindow="-28920" yWindow="-120" windowWidth="29040" windowHeight="15720" firstSheet="1" activeTab="1" xr2:uid="{58D5D17A-7398-4BA8-A727-3D68204A90FA}"/>
  </bookViews>
  <sheets>
    <sheet name="produto" sheetId="2" r:id="rId1"/>
    <sheet name="dev-qa" sheetId="1" r:id="rId2"/>
    <sheet name=".csv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L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30" i="3"/>
  <c r="G31" i="3"/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A29" i="3"/>
  <c r="B29" i="3"/>
  <c r="C29" i="3"/>
  <c r="D29" i="3"/>
  <c r="E29" i="3"/>
  <c r="J29" i="3"/>
  <c r="K29" i="3"/>
  <c r="A30" i="3"/>
  <c r="B30" i="3"/>
  <c r="C30" i="3"/>
  <c r="D30" i="3"/>
  <c r="E30" i="3"/>
  <c r="J30" i="3"/>
  <c r="K30" i="3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3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31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31" i="3"/>
  <c r="D2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31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1" i="3"/>
  <c r="D28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31" i="3"/>
  <c r="D79" i="1" a="1"/>
  <c r="D79" i="1" s="1"/>
  <c r="G29" i="3" s="1"/>
  <c r="D8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tc={33F74893-4B54-4460-A2FA-1412C3CF853A}</author>
    <author>tc={9EFF9E12-15F0-4B6B-89E2-91B9FEF11A17}</author>
    <author>tc={B500FD23-48B1-4AD4-95C1-8F3049AF9311}</author>
  </authors>
  <commentList>
    <comment ref="G2" authorId="0" shapeId="0" xr:uid="{33F74893-4B54-4460-A2FA-1412C3CF853A}">
      <text>
        <t>[Threaded comment]
Your version of Excel allows you to read this threaded comment; however, any edits to it will get removed if the file is opened in a newer version of Excel. Learn more: https://go.microsoft.com/fwlink/?linkid=870924
Comment:
    Backlog
Backlog Programado
Não iniciado
Triagem</t>
      </text>
    </comment>
    <comment ref="H2" authorId="1" shapeId="0" xr:uid="{9EFF9E12-15F0-4B6B-89E2-91B9FEF11A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Nome da funcionalidade 
IGUAL no Artia</t>
      </text>
    </comment>
    <comment ref="I2" authorId="2" shapeId="0" xr:uid="{B500FD23-48B1-4AD4-95C1-8F3049AF93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Nome da Sub-funcionalidade 
IGUAL no Artia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<sst xmlns="http://schemas.openxmlformats.org/spreadsheetml/2006/main" count="303" uniqueCount="209">
  <si>
    <t>Tipo de atividade</t>
  </si>
  <si>
    <t>Responsável</t>
  </si>
  <si>
    <t>Projeto</t>
  </si>
  <si>
    <t>account_id</t>
  </si>
  <si>
    <t>folder_id</t>
  </si>
  <si>
    <t>Situação da atividade</t>
  </si>
  <si>
    <t>Funcionalidade</t>
  </si>
  <si>
    <t>Sub-funcionalidade</t>
  </si>
  <si>
    <t>Análise de testes</t>
  </si>
  <si>
    <t>Adri</t>
  </si>
  <si>
    <t xml:space="preserve">[Widgets] </t>
  </si>
  <si>
    <t>Não iniciado</t>
  </si>
  <si>
    <t>Twygo</t>
  </si>
  <si>
    <t>Automação de testes</t>
  </si>
  <si>
    <t>Alexandre</t>
  </si>
  <si>
    <t>Bug produção</t>
  </si>
  <si>
    <t>Amauri</t>
  </si>
  <si>
    <t>Link documentação</t>
  </si>
  <si>
    <t>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</t>
  </si>
  <si>
    <t>Bug retrabalho</t>
  </si>
  <si>
    <t>Angelica</t>
  </si>
  <si>
    <t>Link Figma</t>
  </si>
  <si>
    <t>https://www.figma.com/make/mtD5lsjvipyXS2GxYGZEMi/Tela-de-meu-espa%C3%A7o-e-widgets-07-01-2026?fullscreen=1&amp;t=ykc17x3aG6WcRjXj-1</t>
  </si>
  <si>
    <t>Deploy</t>
  </si>
  <si>
    <t>Eduardo</t>
  </si>
  <si>
    <t>Desenvolvimento</t>
  </si>
  <si>
    <t>Éverton</t>
  </si>
  <si>
    <t>Documentação</t>
  </si>
  <si>
    <t>Felipe</t>
  </si>
  <si>
    <t>Execução de testes</t>
  </si>
  <si>
    <t>Fred</t>
  </si>
  <si>
    <t>Indiretos - Cerimonias da Equipe</t>
  </si>
  <si>
    <t>Jeiel</t>
  </si>
  <si>
    <t>Reteste</t>
  </si>
  <si>
    <t>João</t>
  </si>
  <si>
    <t>Review</t>
  </si>
  <si>
    <t>Karla</t>
  </si>
  <si>
    <t>Spike</t>
  </si>
  <si>
    <t>Maluf</t>
  </si>
  <si>
    <t>Teste de mesa</t>
  </si>
  <si>
    <t>Milles</t>
  </si>
  <si>
    <t>Morona</t>
  </si>
  <si>
    <t>Vine Coelho</t>
  </si>
  <si>
    <t>Vini Lisboa</t>
  </si>
  <si>
    <t>Tipo da atividade</t>
  </si>
  <si>
    <t>Título da atividade</t>
  </si>
  <si>
    <t>Descrição</t>
  </si>
  <si>
    <t>Esforço estimado</t>
  </si>
  <si>
    <t>Início estimado</t>
  </si>
  <si>
    <t>Término estimado</t>
  </si>
  <si>
    <t>Descrição detalhada da atividade de Spike:</t>
  </si>
  <si>
    <r>
      <rPr>
        <b/>
        <sz val="11"/>
        <color rgb="FF000000"/>
        <rFont val="Roboto"/>
      </rPr>
      <t xml:space="preserve">- Mapa mental
</t>
    </r>
    <r>
      <rPr>
        <sz val="11"/>
        <color rgb="FF000000"/>
        <rFont val="Roboto"/>
      </rPr>
      <t xml:space="preserve">	utilizando estrutura para conversão em .xml, com suítes, casos de testes - título, objetivo, pré-requisitos -, passos e resultado esperado)
</t>
    </r>
    <r>
      <rPr>
        <b/>
        <sz val="11"/>
        <color rgb="FF000000"/>
        <rFont val="Roboto"/>
      </rPr>
      <t>- Converter .xmind para .xml
- Preparar estrutura (suítes de testes) e importar casos de testes para Testlink
- Criar plano de testes/baselines
- Adicionar e atribuir casos para execução</t>
    </r>
  </si>
  <si>
    <t>Dev 1.1 - [Criação da nova lib] Adicionar lib react-grid-layout e criar componente principal do painel</t>
  </si>
  <si>
    <t>* Instalar biblioteca react-grid-layout.
* Criar interfaces TypeScript essenciais.
* Criar componente wrapper &lt;GridContainer /&gt; aceitando propriedades x, y, w, h.
* Configurar breakpoints e colunas responsivas do grid.</t>
  </si>
  <si>
    <t>Dev 1.2 - [Criação da nova lib] Criar estrutura do front em componentes</t>
  </si>
  <si>
    <t>* Criar organização de pastas para os widgets.
* Desenvolver container padrão (wrapper) com título, ícone e ações.
* Implementar Factory que renderiza o widget correto baseado no WIDGET_TYPE.</t>
  </si>
  <si>
    <t>Dev 1.3 - [Criação da nova lib] Models e migrations</t>
  </si>
  <si>
    <t>Migrations:
board_tabs: Criar tabela vinculada a events.
board_widgets: Criar tabela vinculada a tabs, contendo layout_config (JSON).
Feature Flag: Criar flags distintas: Gestão de Painéis
Histórico: Garantir que todas as tabelas tenham organization_id para facilitar a exclusão do banco histórico.</t>
  </si>
  <si>
    <t>Teste de mesa bloco 1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</si>
  <si>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1</t>
    </r>
  </si>
  <si>
    <t>Dev 2.1 - [Criação/listagem de painéis] Tela de criar/editar painel - Aba identificação</t>
  </si>
  <si>
    <t>#R5
* Criar rota new e edit.
* Formulário React mapeando para os campos da tabela events (Nome, Descrição).
* Coluna descrição deve ser um platejs. Para mostrar na tabela utilizar o helper: ""convertDescriptionToPlainText""</t>
  </si>
  <si>
    <t>Dev 2.2 - [Criação/listagem de painéis] Criar a lista dos painéis (usuário + compartilhados)</t>
  </si>
  <si>
    <t>#R1, R2
* Renomear menu
* Ajustar breadcrumb
* Adicionar tab na tela de navegação, controlada pela Feature Flag de gestão.
* Implementar tabela no frontend consumindo PanelsController#index.
* Adicionar rota no routes.rb e PanelsController com action index.
* Criar consultas utilizando padrão de use_case e criterias
* Testes unitários
* Sem coluna de ativar/desativar ainda na coluna "Ativo?"
* Sem a pré-visualização de painéis ainda na visão de cards</t>
  </si>
  <si>
    <t>Dev 2.3 - [Criação/listagem de painéis] Adicionar coluna na listagem com a função de ativar/desativar</t>
  </si>
  <si>
    <t>RN 12
* Implementar toggle rápido na listagem (item 2.2) que atualiza o campo “Ativo” sem necessidade de entrar na tela de edição.
* Implementar o modal de alerta, caso o painel esteja em uso por algum menu.</t>
  </si>
  <si>
    <t>Dev 2.4 - [Criação/listagem de painéis] Filtros e Pesquisa</t>
  </si>
  <si>
    <t>#R3
* Adicionar barra de busca por nome do painel.
* Configurar filterControlProvider
* Implementar filtros das colunas
* Implementar filtros padrões</t>
  </si>
  <si>
    <t>Dev 2.5 - [Criação/listagem de painéis] Esconder painéis de listagens de events</t>
  </si>
  <si>
    <t>Aplicar escopos (default_scope ou filtros explícitos) para garantir que
events kind='Panel' não apareçam em relatórios ou listagens de cursos/trilhas.</t>
  </si>
  <si>
    <t>Teste de mesa bloco 2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</si>
  <si>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2</t>
    </r>
  </si>
  <si>
    <t>QA 2.1 - Listagem</t>
  </si>
  <si>
    <r>
      <rPr>
        <sz val="11"/>
        <color rgb="FF000000"/>
        <rFont val="Roboto"/>
      </rPr>
      <t xml:space="preserve">Descrição RN: 
#R1
RN1, 2, 3, 4
#R2
RN6, 7, 9, 10, 11, 13
</t>
    </r>
    <r>
      <rPr>
        <b/>
        <sz val="11"/>
        <color rgb="FFFF0000"/>
        <rFont val="Roboto"/>
      </rPr>
      <t xml:space="preserve">Verificar sobre ordenação nas colunas
</t>
    </r>
    <r>
      <rPr>
        <sz val="11"/>
        <color rgb="FF000000"/>
        <rFont val="Roboto"/>
      </rPr>
      <t xml:space="preserve">
Também validar: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
- Paginação</t>
    </r>
  </si>
  <si>
    <t>QA 2.2 - Ativar / Inativar</t>
  </si>
  <si>
    <t>Descrição RN: 
#R2
RN12, 12.1
#R15
RN93 (modo de uso)
Também validar: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</t>
  </si>
  <si>
    <t>QA 2.3 - Compartilhamento</t>
  </si>
  <si>
    <t>Descrição RN: 
#R2
RN14, 15</t>
  </si>
  <si>
    <t>QA 2.4 - Pesquisa e Filtros</t>
  </si>
  <si>
    <t>Descrição RN: 
#R2
8
#R3
RN16, 17, 18
Também validar:
- Traduções (conforme configuração do cadastro do usuário administrador - português / inglês / espanhol)</t>
  </si>
  <si>
    <t>Dev 3.1 - [Aba layout] Aplicar lib criada para o layout e criar aba</t>
  </si>
  <si>
    <t>* Criar aba layout.
* Integrar o componente do item 1.1 na tela de edição.
* O grid deve renderizar os itens baseados na tabela panel_widgets.</t>
  </si>
  <si>
    <t>Dev 3.2 - [Aba layout] Criar Widgets JSON no backend</t>
  </si>
  <si>
    <t>Criar endpoint GET /api/widgets/catalog que retorna um array fixo de objetos
definindo os tipos disponíveis e configurações iniciais.</t>
  </si>
  <si>
    <t>Dev 3.3 - [Aba layout] Botão e Drawer de Widgets</t>
  </si>
  <si>
    <t>Frontend: Criar botão e Drawer consumindo o endpoint do catálogo.
Ação: Ao clicar, dar push no array do estado local, calculando a próxima posição y.</t>
  </si>
  <si>
    <t>Dev 3.4 - [Aba layout] Permitir várias abas</t>
  </si>
  <si>
    <t>#R6
* Criar barra de navegação de abas acima do grid.
* Implementar ações: Adicionar, Editar Nome, Excluir (bloquear se única) e Arrastar (Reordenar order_index).
* O clique na aba altera o contexto do grid para exibir apenas os widgets daquela aba.</t>
  </si>
  <si>
    <t>Dev 3.5 - [Aba layout] Botões de visualização desktop/mobile/tablet</t>
  </si>
  <si>
    <t>Criar toolbar que altera a prop width do container do grid para simular 
breakpoints (ex: 1200px, 768px, 375px).</t>
  </si>
  <si>
    <t>Dev 3.6 - [Aba layout] Botão para permitir reorganizar widgets</t>
  </si>
  <si>
    <t>Botão "Travar Layout": toggle nas props isDraggable e isResizable para testar a navegabilidade final.</t>
  </si>
  <si>
    <t>Dev 3.7 - [Aba layout] Edição e Exclusão de Widget</t>
  </si>
  <si>
    <t>* Drawer de edição de widget com campos do figma
* Ação de excluir no front</t>
  </si>
  <si>
    <t>Dev 3.8 - [Aba layout] Widget: Resumo das atividades (front)</t>
  </si>
  <si>
    <t xml:space="preserve">Estratégia Geral: Todos os widgets devem trazer os dados que já trazem hoje.
WIDGETS DEVEM SER RESPONSÍVEIS E TER 3 TIPOS DE VISUALIZAÇÃO: DESKTOP, TABLET E MOBILE
</t>
  </si>
  <si>
    <t>Dev 3.10 - [Aba layout] Widget: Conteúdos em andamento (front)</t>
  </si>
  <si>
    <t>Dev 3.12 - [Aba layout] Widget: Ranking (front)</t>
  </si>
  <si>
    <t>Dev 3.14 - [Aba layout] Widget: Meus certificados (front)</t>
  </si>
  <si>
    <t>Dev 3.16 - [Aba layout] Ação de salvar layout e carregar os dados do painel</t>
  </si>
  <si>
    <t>* Usar transação (ActiveRecord::Base.transaction).
* Estratégia: Atualizar Event -&gt; Sincronizar panel_tabs -&gt; Para cada aba, sincronizar panel_widgets (salvando layout_config).
* Também carregar dados do backend (rota show)</t>
  </si>
  <si>
    <t>Dev 3.17 - [Aba layout] Gerar preview do painel</t>
  </si>
  <si>
    <t>* Gerar preview seguindo a referência da geração de preview de página conforme a doc.</t>
  </si>
  <si>
    <t>Dev 3.18 - [Aba layout] Adicionar modal ao trocar de aba (deseja salvar alterações)</t>
  </si>
  <si>
    <t>Utilizar lógica já existente e utilizada na tela de pacotes, para exibir modal
que verifica se o usuário tem alterações não salvas</t>
  </si>
  <si>
    <t>Teste de mesa bloco 3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</si>
  <si>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3</t>
    </r>
  </si>
  <si>
    <t>QA 3.1 - Adicionar/editar aba</t>
  </si>
  <si>
    <t>Descrição RN: 
#R5
RN21, 22, 23
#R6
RN25, 26, 27, 28, 29, 30, 31, 32, 33, 34, 35, 36, 37, 38, 39, 40, 41
Também validar:
- modal padrão de confirmação após editar e alternar entre abas.
- modal de confirmação do navegador após editar e clicar no botão 'Voltar' da Twygo, do navegador, ou clicar em outros menus.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</t>
  </si>
  <si>
    <t>QA 3.2 - Layout das abas</t>
  </si>
  <si>
    <t>Descrição RN: 
#R8
RN54, 55, 56, 57, 57.1, 57.2, 58, 59, 59.1, 60, 61, 62, 63, 64, 65, 65.1, 65.2
Também validar:
- Layout / cores / padrões
- Traduções (conforme configuração do cadastro do usuário administrador - português / inglês / espanhol)
- Responsividade desktop (1366x768 / 1920x1080 / 1536x864)
- Usabilidade (navegação por TAB, escolhas por setas, confirmação com ENTER e sair/fechar com ESC</t>
  </si>
  <si>
    <t>QA 3.3 - Adicionar widgets</t>
  </si>
  <si>
    <t>Descrição RN: 
#R9
RN 66, 67, 68, 69, 69.1, 70, 73, 73.1, 74, 75, 75.1, 76, 77, 80, 81, 82, 83, 83.1
Também validar:
- Layout / cores / padrões
- Traduções (conforme configuração do cadastro do usuário administrador - português / inglês / espanhol)
- Responsividade desktop (1366x768 / 1920x1080 / 1536x864)
- Usabilidade (navegação por TAB, escolhas por setas, confirmação com ENTER e sair/fechar com ESC</t>
  </si>
  <si>
    <t>QA 3.4 - Editar/Excluir widgets</t>
  </si>
  <si>
    <t>Descrição RN: 
#R10
RN 84, 85, 86, 86.1, 86.2, 87
Também validar:
- Layout / cores / padrões
- Traduções (conforme configuração do cadastro do usuário administrador - português / inglês / espanhol)
- Responsividade desktop (1366x768 / 1920x1080 / 1536x864)
- Usabilidade (navegação por TAB, escolhas por setas, confirmação com ENTER e sair/fechar com ESC</t>
  </si>
  <si>
    <t>Dev 4.1 - [Duplicação de paineis] Implementar ação de duplicação de paineis</t>
  </si>
  <si>
    <t>#R4
* Ler Evento origem. Duplicar Evento.
* Duplicar Abas e Widgets associados.
* Ajustar organization_id e original_panel_id.</t>
  </si>
  <si>
    <t>Teste de mesa bloco 4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</si>
  <si>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4</t>
    </r>
  </si>
  <si>
    <t>QA 4.1 - Duplicar painéis</t>
  </si>
  <si>
    <t>Descrição RN: 
#R4
RN 19 e 20</t>
  </si>
  <si>
    <t>Dev 5.1 - [Importar painéis] Importar aba de outro painel (modal)</t>
  </si>
  <si>
    <t>#R7
* Deve fazer todo o front do modal
* Fazer as consultas para trazer os dados para os selects
* Aplicar os dados no front</t>
  </si>
  <si>
    <t>Dev 5.2 - [Importar painéis] Importar aba de outro painel (salvar)</t>
  </si>
  <si>
    <t>#R7
* Fazer use case no backend que devolve as abas para o front
* Ao confirmar, fazer merge do objeto da aba (e seus widgets) para o estado local do editor (sem salvar no banco imediatamente).</t>
  </si>
  <si>
    <t>Teste de mesa bloco 5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</si>
  <si>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5</t>
    </r>
  </si>
  <si>
    <t>QA 5.1 - Importar abas</t>
  </si>
  <si>
    <t>Descrição RN: 
#R7
RN42, 43, 44, 45, 46, 46, 47, 48, 49, 50, 51, 52, 53
Também validar: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</t>
  </si>
  <si>
    <t>Dev 6.1 - [Modo de uso] Adicionar seleção de painel no modo de uso</t>
  </si>
  <si>
    <t>No formulário de configuração do Modo de Uso, adicionar opção para
selecionar um "Painel" específico como página do modo de uso.</t>
  </si>
  <si>
    <t>Dev 6.2 - [Modo de uso] Criar tela de visualização dos painéis</t>
  </si>
  <si>
    <t>Renderizar o grid em modo readonly (travado).</t>
  </si>
  <si>
    <t>Dev 6.3 - [Modo de uso] Bloquear a ativação de um menu</t>
  </si>
  <si>
    <t>RN 93
* Implementar modal de alerta ao tentar reativar um menu com um painel inativo</t>
  </si>
  <si>
    <t>Dev 3.9 - [Aba layout] Widget: Resumo das atividades (back)</t>
  </si>
  <si>
    <t>Estratégia Geral: Todos os widgets devem trazer os dados que já trazem hoje.
A query deve ser feita do zero utilizando padrão de criterias e use case
Utilizar cache.</t>
  </si>
  <si>
    <t>Dev 3.11 - [Aba layout] Widget: Conteúdos em andamento (back)</t>
  </si>
  <si>
    <t>Dev 3.13 - [Aba layout] Widget: Ranking (back)</t>
  </si>
  <si>
    <t>Dev 3.15 - [Aba layout] Widget: Meus certificados (back)</t>
  </si>
  <si>
    <t>Teste de mesa bloco 6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</si>
  <si>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6</t>
    </r>
  </si>
  <si>
    <t>QA 6.1 - Modo de uso &gt; Painéis do usuário</t>
  </si>
  <si>
    <t>Descrição RN: 
#R11
R88, 89, 89.1, 89.2
Também validar:
- Layout / cores / padrões
- Traduções (conforme configuração do cadastro do usuário administrador - português / inglês / espanhol)
- Responsividade desktop (1366x768 / 1920x1080 / 1536x864)
- Usabilidade (navegação por TAB, escolhas por setas, confirmação com ENTER e sair/fechar com ESC</t>
  </si>
  <si>
    <t>QA 6.2 - Dashboard - Visão do aluno</t>
  </si>
  <si>
    <t>QA 6.3 - Mobile</t>
  </si>
  <si>
    <t>Validar:
- Telas admin e aluno
- DevTools (412x915 / 393x873 / 414x896) Horizontal e Vertical
- Dispositivo real (navegador chrome) horizontal e vertical</t>
  </si>
  <si>
    <t>Dev 7.1 - [Workers] Criar worker para a migração dos painéis</t>
  </si>
  <si>
    <t>* Verificar se já existe painel padrão. Se não, criar um Event (Panel) com abas e
widgets idênticos ao dashboard legado.
* Atualizar o modo de uso da org, removendo o dashboard antigo e criando novo menu com mesmo nome e ícone do dashboard, só que usando o painel.</t>
  </si>
  <si>
    <t>Dev 7.2 - [Workers] Criar worker de reversão</t>
  </si>
  <si>
    <t>Script que reverte a configuração do modo de uso e restaura o acesso
ao dashboard padrão anterior.</t>
  </si>
  <si>
    <t>Teste de mesa bloco 7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</si>
  <si>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7</t>
    </r>
  </si>
  <si>
    <t>QA 7.1 - [Workers] Criar worker para a migração dos painéis</t>
  </si>
  <si>
    <t>* Verificar se já existe painel padrão. Se não, criar um Event (Panel) com abas e
widgets idênticos ao dashboard legado.
* Atualizar o modo de uso da org, removendo o dashboard antigo e criando novo menu com mesmo nome e ícone do dashboard, só que usando o painel.
* Criar os shared events necessários.</t>
  </si>
  <si>
    <t>QA 7.2 - [Workers] Criar worker de reversão</t>
  </si>
  <si>
    <t>Dev 8.1 - [Beta] Adicionar a tabela de preços e contrato</t>
  </si>
  <si>
    <t>Adicionar funcionalidade na tabela de preços e no contrato</t>
  </si>
  <si>
    <t>Dev 8.2 - [Beta] Aplicar bloqueios de contrato nas telas de edição e opções do modo de uso</t>
  </si>
  <si>
    <t>Aplicar tela padrão e modais de bloqueio de contrato</t>
  </si>
  <si>
    <t>Dev 8.3 - [Beta] Adicionar ao beta automático</t>
  </si>
  <si>
    <t>Dev 8.4 - [Beta] Adicionar painéis na org trial</t>
  </si>
  <si>
    <t>Será necessário incluírmos as informações do novo painel de dashboard do aluno na base da org trial, para que quando o trial for criado, puxar essas informações para dentro do modo de uso</t>
  </si>
  <si>
    <t>Teste de mesa bloco 8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</si>
  <si>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8</t>
    </r>
  </si>
  <si>
    <t>QA 8.1 - Beta / Launch</t>
  </si>
  <si>
    <t>Plano de liberação com Beta automático</t>
  </si>
  <si>
    <t>Dev 9.1 - [Banco histórico] Adicionar tabelas à exclusão do banco histórico</t>
  </si>
  <si>
    <t>Incluir panel_tabs e panel_widgets nas rotinas de limpeza de dados baseadas em organization_id.</t>
  </si>
  <si>
    <t>Teste de mesa bloco 9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</si>
  <si>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9</t>
    </r>
  </si>
  <si>
    <t>QA 9.1 - Banco histórico</t>
  </si>
  <si>
    <r>
      <rPr>
        <sz val="11"/>
        <color rgb="FF000000"/>
        <rFont val="Roboto"/>
      </rPr>
      <t xml:space="preserve">Descrição RN:
#R13
RN91
Na atividade de </t>
    </r>
    <r>
      <rPr>
        <b/>
        <sz val="11"/>
        <color rgb="FFFF0000"/>
        <rFont val="Roboto"/>
      </rPr>
      <t xml:space="preserve">DEV </t>
    </r>
    <r>
      <rPr>
        <sz val="11"/>
        <color rgb="FF000000"/>
        <rFont val="Roboto"/>
      </rPr>
      <t xml:space="preserve">é </t>
    </r>
    <r>
      <rPr>
        <b/>
        <sz val="11"/>
        <color rgb="FFFF0000"/>
        <rFont val="Roboto"/>
      </rPr>
      <t xml:space="preserve">obrigatório </t>
    </r>
    <r>
      <rPr>
        <sz val="11"/>
        <color rgb="FF000000"/>
        <rFont val="Roboto"/>
      </rPr>
      <t xml:space="preserve">conter a relação de </t>
    </r>
    <r>
      <rPr>
        <b/>
        <sz val="11"/>
        <color rgb="FFFF0000"/>
        <rFont val="Roboto"/>
      </rPr>
      <t xml:space="preserve">tabelas </t>
    </r>
    <r>
      <rPr>
        <sz val="11"/>
        <color rgb="FF000000"/>
        <rFont val="Roboto"/>
      </rPr>
      <t>impactadas para testes por QA. 
Quando conhecimento das tabelas, atualizar esta descrição adicionando-as.</t>
    </r>
  </si>
  <si>
    <t>Dev 10.1 - Salvar logs de widgets e panel_tabs</t>
  </si>
  <si>
    <t>Registrar logs estruturados nas ações de criação, edição e exclusão.
Incluir IP do usuário e ID da Organização para auditoria.</t>
  </si>
  <si>
    <t>Teste de mesa bloco 10</t>
  </si>
  <si>
    <r>
      <rPr>
        <sz val="11"/>
        <color rgb="FF000000"/>
        <rFont val="Roboto"/>
      </rPr>
      <t xml:space="preserve">Teste de mesa - </t>
    </r>
    <r>
      <rPr>
        <b/>
        <sz val="11"/>
        <color rgb="FFFF0000"/>
        <rFont val="Roboto"/>
      </rPr>
      <t xml:space="preserve">Atividades </t>
    </r>
    <r>
      <rPr>
        <sz val="11"/>
        <color rgb="FF000000"/>
        <rFont val="Roboto"/>
      </rPr>
      <t xml:space="preserve">/ </t>
    </r>
    <r>
      <rPr>
        <b/>
        <sz val="11"/>
        <color rgb="FFFF0000"/>
        <rFont val="Roboto"/>
      </rPr>
      <t>Blocos</t>
    </r>
    <r>
      <rPr>
        <sz val="11"/>
        <color rgb="FF000000"/>
        <rFont val="Roboto"/>
      </rPr>
      <t xml:space="preserve">:
</t>
    </r>
    <r>
      <rPr>
        <b/>
        <sz val="11"/>
        <color rgb="FFFF0000"/>
        <rFont val="Roboto"/>
      </rPr>
      <t>Bloco 10</t>
    </r>
  </si>
  <si>
    <t>QA 10.1 - Logs</t>
  </si>
  <si>
    <r>
      <rPr>
        <sz val="11"/>
        <color rgb="FF000000"/>
        <rFont val="Roboto"/>
      </rPr>
      <t xml:space="preserve">Descrição RN:
#R14
RN92
Na atividade de </t>
    </r>
    <r>
      <rPr>
        <b/>
        <sz val="11"/>
        <color rgb="FFFF0000"/>
        <rFont val="Roboto"/>
      </rPr>
      <t xml:space="preserve">DEV </t>
    </r>
    <r>
      <rPr>
        <sz val="11"/>
        <color rgb="FF000000"/>
        <rFont val="Roboto"/>
      </rPr>
      <t xml:space="preserve">é </t>
    </r>
    <r>
      <rPr>
        <b/>
        <sz val="11"/>
        <color rgb="FFFF0000"/>
        <rFont val="Roboto"/>
      </rPr>
      <t xml:space="preserve">obrigatório </t>
    </r>
    <r>
      <rPr>
        <sz val="11"/>
        <color rgb="FF000000"/>
        <rFont val="Roboto"/>
      </rPr>
      <t xml:space="preserve">conter a </t>
    </r>
    <r>
      <rPr>
        <b/>
        <sz val="11"/>
        <color rgb="FFFF0000"/>
        <rFont val="Roboto"/>
      </rPr>
      <t>relação de tabelas e bancos</t>
    </r>
    <r>
      <rPr>
        <sz val="11"/>
        <color rgb="FF000000"/>
        <rFont val="Roboto"/>
      </rPr>
      <t xml:space="preserve"> para testes por QA
    MySQL
    PostgreSQL
Quando conhecimento das tabelas, atualizar esta descrição adicionando-as.</t>
    </r>
  </si>
  <si>
    <t>QA 11.1 - Ambientes adicionais</t>
  </si>
  <si>
    <t>Impactos, restrições, observações - Ambientes adicionais</t>
  </si>
  <si>
    <t>QA 11.2 - Feature flag</t>
  </si>
  <si>
    <t>Feature flag desabilitada
Feature flag habilitada + painéis criados e aplicados em modo de uso + desabilitar feature flag (verificar que "menu" com widgets é ocultado na visão do aluno)
Verificar também caso o menu com widgets esteja marcado como 'Padrão' e a funcionalidade desabilitada via feature_flag</t>
  </si>
  <si>
    <t>QA 11.3 - Trial</t>
  </si>
  <si>
    <r>
      <rPr>
        <sz val="11"/>
        <color rgb="FF000000"/>
        <rFont val="Roboto"/>
      </rPr>
      <t>Conforme já alinhamos, estou mantendo esta atividade apenas para "repasse" em trial (devido à ocorrências dos últimos impactos não previstos)
Repasse para</t>
    </r>
    <r>
      <rPr>
        <b/>
        <sz val="11"/>
        <color rgb="FFFF0000"/>
        <rFont val="Roboto"/>
      </rPr>
      <t xml:space="preserve"> criação de trial</t>
    </r>
    <r>
      <rPr>
        <sz val="11"/>
        <color rgb="FF000000"/>
        <rFont val="Roboto"/>
      </rPr>
      <t xml:space="preserve"> (via URL e API)
    URL: https://stage.twygoead.com/new/register/steps?1
    API: https://stage.twygo.com/api/v2/external_onboarding
Repasse nas </t>
    </r>
    <r>
      <rPr>
        <b/>
        <sz val="11"/>
        <color rgb="FFFF0000"/>
        <rFont val="Roboto"/>
      </rPr>
      <t xml:space="preserve">exclusões de trial
</t>
    </r>
    <r>
      <rPr>
        <sz val="11"/>
        <color rgb="FF000000"/>
        <rFont val="Roboto"/>
      </rPr>
      <t xml:space="preserve">    Todas as informações pré-definidas da SophiaTech
    Todas informações (pré-definidas e criadas pelos administradores)</t>
    </r>
  </si>
  <si>
    <t>Repasse</t>
  </si>
  <si>
    <t>Execução desta atividade será apenas se BUG's críticos e/ou muitos retrabalhos
Pode ser cancelada
Validar principalmente fluxos principais / ótimos
Última atividade de teste, alocada após conclusão de todos os testes (execução + retrabalhos)</t>
  </si>
  <si>
    <t>Wiki</t>
  </si>
  <si>
    <t xml:space="preserve">Confirmar atualizações necessárias nas documentações abaixo:
114 - Navegação - Modo de uso
Obs.: Alterar também a nomenclatura da pasta e no arquivo da nova versão da documentação.
Criar:
Menu - Modo de uso - Painéis </t>
  </si>
  <si>
    <t>Usabilidade</t>
  </si>
  <si>
    <t>Atividade destinada a criação de documentação de apoio para o time de suporte sobre as funcionalidades, configurações</t>
  </si>
  <si>
    <t>Vídeo</t>
  </si>
  <si>
    <r>
      <rPr>
        <sz val="11"/>
        <color rgb="FF000000"/>
        <rFont val="Roboto"/>
      </rPr>
      <t>Obs.:</t>
    </r>
    <r>
      <rPr>
        <b/>
        <sz val="11"/>
        <color rgb="FFFF0000"/>
        <rFont val="Roboto"/>
      </rPr>
      <t xml:space="preserve"> 5 dias corridos</t>
    </r>
    <r>
      <rPr>
        <sz val="11"/>
        <color rgb="FF000000"/>
        <rFont val="Roboto"/>
      </rPr>
      <t xml:space="preserve"> antes da data de entrega (prazo para edição vídeo pelo time de Marketing)</t>
    </r>
  </si>
  <si>
    <t>Buffer retrabalho</t>
  </si>
  <si>
    <t>Gerar versão para Deploy (dd/mm)</t>
  </si>
  <si>
    <r>
      <rPr>
        <b/>
        <sz val="11"/>
        <color rgb="FF000000"/>
        <rFont val="Roboto"/>
      </rPr>
      <t xml:space="preserve">Gerar versão para deploy
</t>
    </r>
    <r>
      <rPr>
        <sz val="11"/>
        <color rgb="FF000000"/>
        <rFont val="Roboto"/>
      </rPr>
      <t xml:space="preserve">
Branch principal: a
PR principal: a
━━━━━━━━━━━━━━━━━━━━━━━━━━━
Runner: a
━━━━━━━━━━━━━━━━━━━━━━━━━━━
Título: a
Link: a
PR: a
━━━━━━━━━━━━━━━━━━━━━━━━━━━
</t>
    </r>
    <r>
      <rPr>
        <b/>
        <sz val="11"/>
        <color rgb="FF000000"/>
        <rFont val="Roboto"/>
      </rPr>
      <t>Feature flag: a
Ambientes internos</t>
    </r>
    <r>
      <rPr>
        <sz val="11"/>
        <color rgb="FF000000"/>
        <rFont val="Roboto"/>
      </rPr>
      <t xml:space="preserve"> para serem adicionados na feature flag: 
1523     Budziak
11827   Twygo
19647   Academy
30922   Evandro
24587   Treinamento de Equipes
30539   Tech
32911   Twygo Jessy
33430   Academia Twygo - Teste
19653   Teste de Migração - Principal
19830   Universidade Twygo
22516   Twygo Studio
36154   KQA</t>
    </r>
  </si>
  <si>
    <t>Total</t>
  </si>
  <si>
    <t>account_id (*)</t>
  </si>
  <si>
    <t>folder_id (*)</t>
  </si>
  <si>
    <t>situacao_atividade</t>
  </si>
  <si>
    <t>tipo (*)</t>
  </si>
  <si>
    <t>titulo (*)</t>
  </si>
  <si>
    <t>descricao</t>
  </si>
  <si>
    <t>esforco_estimado</t>
  </si>
  <si>
    <t>inicio_estimado</t>
  </si>
  <si>
    <t>termino_estimado</t>
  </si>
  <si>
    <t>funcionalidade</t>
  </si>
  <si>
    <t>sub_funcionalidade</t>
  </si>
  <si>
    <t>responsavel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</si>
</sst>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Roboto"/>
    </font>
    <font>
      <b/>
      <sz val="12"/>
      <color theme="1"/>
      <name val="Roboto"/>
    </font>
    <font>
      <sz val="10"/>
      <color theme="1"/>
      <name val="Calibri"/>
      <family val="2"/>
      <scheme val="minor"/>
    </font>
    <font>
      <sz val="10"/>
      <color rgb="FF000000"/>
      <name val="Roboto"/>
    </font>
    <font>
      <b/>
      <sz val="12"/>
      <color theme="0"/>
      <name val="Roboto"/>
    </font>
    <font>
      <u/>
      <sz val="11"/>
      <color theme="10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Roboto"/>
    </font>
    <font>
      <sz val="11"/>
      <color rgb="FF000000"/>
      <name val="Roboto"/>
    </font>
    <font>
      <b/>
      <sz val="11"/>
      <color rgb="FFFF0000"/>
      <name val="Roboto"/>
    </font>
    <font>
      <b/>
      <sz val="11"/>
      <color rgb="FF000000"/>
      <name val="Roboto"/>
    </font>
    <font>
      <sz val="11"/>
      <color rgb="FFFF0000"/>
      <name val="Roboto"/>
    </font>
    <font>
      <sz val="10"/>
      <color rgb="FFFF0000"/>
      <name val="Roboto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349DE"/>
        <bgColor indexed="64"/>
      </patternFill>
    </fill>
    <fill>
      <patternFill patternType="solid">
        <fgColor rgb="FFEFB650"/>
        <bgColor indexed="64"/>
      </patternFill>
    </fill>
    <fill>
      <patternFill patternType="solid">
        <fgColor rgb="FF0E2F7C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53">
    <xf numFmtId="0" fontId="0" fillId="0" borderId="0" xfId="0"/>
    <xf numFmtId="0" fontId="24" fillId="0" borderId="10" xfId="42" applyFont="1" applyBorder="1" applyAlignment="1">
      <alignment horizontal="left" vertical="center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/>
    </xf>
    <xf numFmtId="0" fontId="19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vertical="top"/>
    </xf>
    <xf numFmtId="14" fontId="18" fillId="0" borderId="0" xfId="0" applyNumberFormat="1" applyFont="1" applyAlignment="1">
      <alignment vertical="top"/>
    </xf>
    <xf numFmtId="0" fontId="19" fillId="34" borderId="13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1" fontId="18" fillId="35" borderId="0" xfId="0" applyNumberFormat="1" applyFont="1" applyFill="1" applyAlignment="1">
      <alignment vertical="top"/>
    </xf>
    <xf numFmtId="0" fontId="18" fillId="0" borderId="14" xfId="0" applyFont="1" applyBorder="1" applyAlignment="1">
      <alignment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right" vertical="center"/>
    </xf>
    <xf numFmtId="0" fontId="19" fillId="36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0" fontId="18" fillId="37" borderId="0" xfId="0" applyFont="1" applyFill="1" applyAlignment="1">
      <alignment vertical="top"/>
    </xf>
    <xf numFmtId="14" fontId="18" fillId="37" borderId="0" xfId="0" applyNumberFormat="1" applyFont="1" applyFill="1" applyAlignment="1">
      <alignment vertical="top"/>
    </xf>
    <xf numFmtId="0" fontId="0" fillId="37" borderId="0" xfId="0" applyFill="1" applyAlignment="1">
      <alignment vertical="top"/>
    </xf>
    <xf numFmtId="0" fontId="25" fillId="0" borderId="0" xfId="0" applyFont="1"/>
    <xf numFmtId="0" fontId="25" fillId="0" borderId="0" xfId="0" applyFont="1" applyAlignment="1">
      <alignment vertical="top"/>
    </xf>
    <xf numFmtId="0" fontId="26" fillId="0" borderId="0" xfId="0" applyFont="1" applyAlignment="1">
      <alignment vertical="top"/>
    </xf>
    <xf numFmtId="49" fontId="25" fillId="0" borderId="0" xfId="0" applyNumberFormat="1" applyFont="1" applyAlignment="1">
      <alignment vertical="top" wrapText="1"/>
    </xf>
    <xf numFmtId="0" fontId="25" fillId="0" borderId="0" xfId="0" applyFont="1" applyAlignment="1">
      <alignment vertical="top" wrapText="1"/>
    </xf>
    <xf numFmtId="49" fontId="25" fillId="0" borderId="0" xfId="0" applyNumberFormat="1" applyFont="1" applyAlignment="1">
      <alignment vertical="top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5" fillId="37" borderId="0" xfId="0" applyFont="1" applyFill="1" applyAlignment="1">
      <alignment vertical="top"/>
    </xf>
    <xf numFmtId="0" fontId="25" fillId="37" borderId="0" xfId="0" applyFont="1" applyFill="1" applyAlignment="1">
      <alignment vertical="top" wrapText="1"/>
    </xf>
    <xf numFmtId="49" fontId="26" fillId="0" borderId="0" xfId="0" quotePrefix="1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6" fillId="0" borderId="0" xfId="0" applyNumberFormat="1" applyFont="1" applyAlignment="1">
      <alignment vertical="top" wrapText="1"/>
    </xf>
    <xf numFmtId="49" fontId="25" fillId="37" borderId="0" xfId="0" applyNumberFormat="1" applyFont="1" applyFill="1" applyAlignment="1">
      <alignment vertical="top"/>
    </xf>
    <xf numFmtId="0" fontId="29" fillId="0" borderId="0" xfId="0" applyFont="1" applyAlignment="1">
      <alignment vertical="top"/>
    </xf>
    <xf numFmtId="49" fontId="29" fillId="0" borderId="0" xfId="0" applyNumberFormat="1" applyFont="1" applyAlignment="1">
      <alignment vertical="top" wrapText="1"/>
    </xf>
    <xf numFmtId="0" fontId="30" fillId="0" borderId="0" xfId="0" applyFont="1" applyAlignment="1">
      <alignment vertical="top"/>
    </xf>
    <xf numFmtId="0" fontId="29" fillId="0" borderId="0" xfId="0" applyFont="1" applyAlignment="1">
      <alignment wrapText="1"/>
    </xf>
    <xf numFmtId="0" fontId="29" fillId="0" borderId="0" xfId="0" applyFont="1" applyAlignment="1">
      <alignment vertical="top" wrapText="1"/>
    </xf>
    <xf numFmtId="0" fontId="21" fillId="0" borderId="10" xfId="0" applyFont="1" applyBorder="1" applyAlignment="1">
      <alignment horizontal="left" vertical="center"/>
    </xf>
    <xf numFmtId="0" fontId="23" fillId="0" borderId="10" xfId="42" applyBorder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1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name val="Roboto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Roboto"/>
        <scheme val="none"/>
      </font>
      <fill>
        <patternFill patternType="solid">
          <fgColor indexed="64"/>
          <bgColor rgb="FF9349DE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rgb="FFAF4014"/>
      </font>
    </dxf>
    <dxf>
      <font>
        <b/>
        <i val="0"/>
        <color rgb="FF08ECCC"/>
      </font>
    </dxf>
    <dxf>
      <font>
        <b/>
        <i val="0"/>
        <color rgb="FF89B0EB"/>
      </font>
    </dxf>
    <dxf>
      <font>
        <b/>
        <i val="0"/>
        <color rgb="FF90F485"/>
      </font>
    </dxf>
    <dxf>
      <font>
        <b/>
        <i val="0"/>
        <color rgb="FFF90EF4"/>
      </font>
    </dxf>
    <dxf>
      <font>
        <b/>
        <i val="0"/>
        <color rgb="FF2442E0"/>
      </font>
    </dxf>
    <dxf>
      <font>
        <b/>
        <i val="0"/>
        <color rgb="FFF1D8D8"/>
      </font>
    </dxf>
    <dxf>
      <font>
        <b/>
        <i val="0"/>
        <color rgb="FFEFB650"/>
      </font>
    </dxf>
    <dxf>
      <font>
        <b/>
        <i val="0"/>
        <color rgb="FF0E2F7C"/>
      </font>
    </dxf>
    <dxf>
      <font>
        <b/>
        <i val="0"/>
      </font>
    </dxf>
  </dxfs>
  <tableStyles count="0" defaultTableStyle="TableStyleMedium2" defaultPivotStyle="PivotStyleLight16"/>
  <colors>
    <mruColors>
      <color rgb="FF0E2F7C"/>
      <color rgb="FFEFB650"/>
      <color rgb="FFF1D8D8"/>
      <color rgb="FF2442E0"/>
      <color rgb="FFF90EF4"/>
      <color rgb="FF90F485"/>
      <color rgb="FF89B0EB"/>
      <color rgb="FF08ECCC"/>
      <color rgb="FFAF4014"/>
      <color rgb="FF9349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2.xml"/><Relationship Id="rId5" Type="http://schemas.openxmlformats.org/officeDocument/2006/relationships/styles" Target="style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arla Daiany Oliveira" id="{DBE8EF7B-3AF1-40C2-B6EB-8F2162EDCEA4}" userId="a4472f187c2d3a4a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8CADBB-244A-4B6F-8871-10D28472DBB9}" name="Tabela1" displayName="Tabela1" ref="A1:G82" totalsRowCount="1" headerRowDxfId="30" dataDxfId="29" headerRowBorderDxfId="27" tableBorderDxfId="28">
  <autoFilter ref="A1:G81" xr:uid="{F18CADBB-244A-4B6F-8871-10D28472DBB9}"/>
  <tableColumns count="7">
    <tableColumn id="1" xr3:uid="{7BE972DA-D86D-4B0F-9BD5-F7BD89576A23}" name="Tipo da atividade" totalsRowLabel="Total" dataDxfId="25" totalsRowDxfId="26"/>
    <tableColumn id="2" xr3:uid="{219860F3-4A1F-4C02-9B3E-C4904346689D}" name="Título da atividade" dataDxfId="23" totalsRowDxfId="24"/>
    <tableColumn id="3" xr3:uid="{19B068DE-41DF-4AEC-ACF0-C0DD9DBDEF26}" name="Descrição" dataDxfId="21" totalsRowDxfId="22"/>
    <tableColumn id="4" xr3:uid="{61428A8D-1E97-4DA7-87F9-EB29C8DB3A8B}" name="Esforço estimado" totalsRowFunction="sum" dataDxfId="19" totalsRowDxfId="20"/>
    <tableColumn id="5" xr3:uid="{D9A9B432-3174-4885-A7A4-86D16597D353}" name="Início estimado" dataDxfId="17" totalsRowDxfId="18"/>
    <tableColumn id="6" xr3:uid="{BF201FBD-6569-4D46-A014-ADECF79AF605}" name="Término estimado" dataDxfId="15" totalsRowDxfId="16"/>
    <tableColumn id="9" xr3:uid="{E200AFB6-1FF4-4DF5-AC99-D96E633883A5}" name="Responsável" dataDxfId="13" totalsRow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A98558-84FD-4A99-80DE-941CA2BCB6E4}" name="Tabela2" displayName="Tabela2" ref="A1:L31" totalsRowShown="0" headerRowDxfId="12">
  <autoFilter ref="A1:L31" xr:uid="{6DA98558-84FD-4A99-80DE-941CA2BCB6E4}"/>
  <tableColumns count="12">
    <tableColumn id="1" xr3:uid="{38A7ABCD-C0E6-48A3-82A2-E0E7D5505A44}" name="account_id (*)" dataDxfId="11">
      <calculatedColumnFormula>IF(Tabela1[[#This Row],[Título da atividade]]="","",produto!$E$2)</calculatedColumnFormula>
    </tableColumn>
    <tableColumn id="2" xr3:uid="{BA6C9E37-7412-4493-9765-72F8D42C1264}" name="folder_id (*)" dataDxfId="10">
      <calculatedColumnFormula>IF(Tabela1[[#This Row],[Título da atividade]]="","",produto!$F$2)</calculatedColumnFormula>
    </tableColumn>
    <tableColumn id="3" xr3:uid="{70D2A543-9906-4D55-AE6F-257868A5330B}" name="situacao_atividade" dataDxfId="9">
      <calculatedColumnFormula>IF(Tabela1[[#This Row],[Título da atividade]]="","",produto!$G$2)</calculatedColumnFormula>
    </tableColumn>
    <tableColumn id="4" xr3:uid="{C782F103-C135-44E0-83B5-70D4887504B3}" name="tipo (*)" dataDxfId="8">
      <calculatedColumnFormula>IF(Tabela1[[#This Row],[Tipo da atividade]]="","",Tabela1[[#This Row],[Tipo da atividade]])</calculatedColumnFormula>
    </tableColumn>
    <tableColumn id="5" xr3:uid="{14030C53-54E8-4FFE-968D-576F939C3278}" name="titulo (*)" dataDxfId="7">
      <calculatedColumnFormula>IF(Tabela1[[#This Row],[Título da atividade]]=""," ",_xlfn.CONCAT(produto!$D$2,"",Tabela1[[#This Row],[Título da atividade]]))</calculatedColumnFormula>
    </tableColumn>
    <tableColumn id="6" xr3:uid="{FDFA7ACF-8C03-40C1-AD9B-3B1D9D1D224B}" name="descricao" dataDxfId="6">
      <calculatedColumnFormula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calculatedColumnFormula>
    </tableColumn>
    <tableColumn id="7" xr3:uid="{AEB2AA15-EF9A-45FC-BCD2-F7D859A9E926}" name="esforco_estimado" dataDxfId="5">
      <calculatedColumnFormula>IF(Tabela1[[#This Row],[Título da atividade]]="","",IF(Tabela1[[#This Row],[Esforço estimado]]&gt;0,Tabela1[[#This Row],[Esforço estimado]],""))</calculatedColumnFormula>
    </tableColumn>
    <tableColumn id="8" xr3:uid="{297A5139-CB00-4D9B-8A22-180F6A0B9D94}" name="inicio_estimado" dataDxfId="4">
      <calculatedColumnFormula>IF(Tabela1[[#This Row],[Título da atividade]]="","",IF(Tabela1[[#This Row],[Início estimado]]&gt;0,Tabela1[[#This Row],[Início estimado]],""))</calculatedColumnFormula>
    </tableColumn>
    <tableColumn id="9" xr3:uid="{1CAC13E1-BBC9-4513-AF7A-9BDF08A56934}" name="termino_estimado" dataDxfId="3">
      <calculatedColumnFormula>IF(Tabela1[[#This Row],[Título da atividade]]="","",IF(Tabela1[[#This Row],[Término estimado]]&gt;0,Tabela1[[#This Row],[Término estimado]],""))</calculatedColumnFormula>
    </tableColumn>
    <tableColumn id="10" xr3:uid="{CCDA66D0-1747-4809-AD49-9D4923148988}" name="funcionalidade" dataDxfId="2">
      <calculatedColumnFormula>IF(Tabela1[[#This Row],[Título da atividade]]="","",produto!$H$2)</calculatedColumnFormula>
    </tableColumn>
    <tableColumn id="11" xr3:uid="{DC529230-9060-4BCC-B541-E32B5E4165C1}" name="sub_funcionalidade" dataDxfId="1">
      <calculatedColumnFormula>IF(Tabela1[[#This Row],[Título da atividade]]="","",produto!$I$2)</calculatedColumnFormula>
    </tableColumn>
    <tableColumn id="12" xr3:uid="{28DCCA29-93DC-4E7C-AD86-F7C55C5FA70C}" name="responsavel" dataDxfId="0">
      <calculatedColumnFormula>IF(Tabela1[[#This Row],[Título da atividade]]="","",IF(Tabela1[[#This Row],[Responsável]]&gt;0,Tabela1[[#This Row],[Responsável]],""))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" dT="2026-02-04T11:21:39.88" personId="{DBE8EF7B-3AF1-40C2-B6EB-8F2162EDCEA4}" id="{33F74893-4B54-4460-A2FA-1412C3CF853A}">
    <text>Backlog
Backlog Programado
Não iniciado
Triagem</text>
  </threadedComment>
  <threadedComment ref="H2" dT="2026-02-17T14:15:57.91" personId="{DBE8EF7B-3AF1-40C2-B6EB-8F2162EDCEA4}" id="{9EFF9E12-15F0-4B6B-89E2-91B9FEF11A17}">
    <text>Nome da funcionalidade 
IGUAL no Artia</text>
  </threadedComment>
  <threadedComment ref="I2" dT="2026-02-17T14:16:10.92" personId="{DBE8EF7B-3AF1-40C2-B6EB-8F2162EDCEA4}" id="{B500FD23-48B1-4AD4-95C1-8F3049AF9311}">
    <text xml:space="preserve">Nome da Sub-funcionalidade 
IGUAL no Artia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igma.com/make/mtD5lsjvipyXS2GxYGZEMi/Tela-de-meu-espa%C3%A7o-e-widgets-07-01-2026?fullscreen=1&amp;t=ykc17x3aG6WcRjXj-1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F3606-1CD1-499C-9CDB-BFB496BFC066}">
  <dimension ref="A1:I17"/>
  <sheetViews>
    <sheetView showGridLines="0" workbookViewId="0">
      <selection activeCell="D10" sqref="D10"/>
    </sheetView>
  </sheetViews>
  <sheetFormatPr defaultRowHeight="15"/>
  <cols>
    <col min="1" max="1" width="31.7109375" customWidth="1"/>
    <col min="2" max="2" width="17.7109375" customWidth="1"/>
    <col min="3" max="3" width="2.7109375" customWidth="1"/>
    <col min="4" max="4" width="31.7109375" style="4" customWidth="1"/>
    <col min="5" max="6" width="17.7109375" customWidth="1"/>
    <col min="7" max="9" width="31.7109375" customWidth="1"/>
  </cols>
  <sheetData>
    <row r="1" spans="1:9" s="6" customFormat="1" ht="15.95" customHeight="1">
      <c r="A1" s="19" t="s">
        <v>0</v>
      </c>
      <c r="B1" s="19" t="s">
        <v>1</v>
      </c>
      <c r="C1" s="5"/>
      <c r="D1" s="19" t="s">
        <v>2</v>
      </c>
      <c r="E1" s="19" t="s">
        <v>3</v>
      </c>
      <c r="F1" s="19" t="s">
        <v>4</v>
      </c>
      <c r="G1" s="20" t="s">
        <v>5</v>
      </c>
      <c r="H1" s="19" t="s">
        <v>6</v>
      </c>
      <c r="I1" s="19" t="s">
        <v>7</v>
      </c>
    </row>
    <row r="2" spans="1:9" s="10" customFormat="1" ht="15.95" customHeight="1">
      <c r="A2" s="7" t="s">
        <v>8</v>
      </c>
      <c r="B2" s="7" t="s">
        <v>9</v>
      </c>
      <c r="C2" s="18"/>
      <c r="D2" s="8" t="s">
        <v>10</v>
      </c>
      <c r="E2" s="9">
        <v>4874953</v>
      </c>
      <c r="F2" s="8">
        <v>6368994</v>
      </c>
      <c r="G2" s="8" t="s">
        <v>11</v>
      </c>
      <c r="H2" s="8" t="s">
        <v>12</v>
      </c>
      <c r="I2" s="8" t="s">
        <v>12</v>
      </c>
    </row>
    <row r="3" spans="1:9" s="10" customFormat="1" ht="15.95" customHeight="1">
      <c r="A3" s="7" t="s">
        <v>13</v>
      </c>
      <c r="B3" s="7" t="s">
        <v>14</v>
      </c>
      <c r="C3" s="11"/>
      <c r="D3" s="12"/>
      <c r="E3" s="11"/>
      <c r="F3" s="11"/>
      <c r="G3" s="11"/>
      <c r="H3" s="11"/>
      <c r="I3" s="11"/>
    </row>
    <row r="4" spans="1:9" s="10" customFormat="1" ht="117.75" customHeight="1">
      <c r="A4" s="7" t="s">
        <v>15</v>
      </c>
      <c r="B4" s="7" t="s">
        <v>16</v>
      </c>
      <c r="C4" s="11"/>
      <c r="D4" s="21" t="s">
        <v>17</v>
      </c>
      <c r="E4" s="1" t="s">
        <v>18</v>
      </c>
      <c r="F4" s="51"/>
      <c r="G4" s="51"/>
      <c r="H4" s="51"/>
      <c r="I4" s="51"/>
    </row>
    <row r="5" spans="1:9" s="10" customFormat="1" ht="15.95" customHeight="1">
      <c r="A5" s="7" t="s">
        <v>19</v>
      </c>
      <c r="B5" s="7" t="s">
        <v>20</v>
      </c>
      <c r="C5" s="11"/>
      <c r="D5" s="21" t="s">
        <v>21</v>
      </c>
      <c r="E5" s="52" t="s">
        <v>22</v>
      </c>
      <c r="F5" s="52"/>
      <c r="G5" s="52"/>
      <c r="H5" s="52"/>
      <c r="I5" s="52"/>
    </row>
    <row r="6" spans="1:9" s="10" customFormat="1" ht="15.95" customHeight="1">
      <c r="A6" s="7" t="s">
        <v>23</v>
      </c>
      <c r="B6" s="7" t="s">
        <v>24</v>
      </c>
      <c r="C6" s="11"/>
      <c r="D6" s="12"/>
      <c r="E6" s="11"/>
      <c r="F6" s="11"/>
      <c r="G6" s="11"/>
      <c r="H6" s="11"/>
      <c r="I6" s="11"/>
    </row>
    <row r="7" spans="1:9" s="10" customFormat="1" ht="15.95" customHeight="1">
      <c r="A7" s="7" t="s">
        <v>25</v>
      </c>
      <c r="B7" s="7" t="s">
        <v>26</v>
      </c>
      <c r="C7" s="11"/>
      <c r="D7" s="12"/>
      <c r="E7" s="11"/>
      <c r="F7" s="11"/>
      <c r="G7" s="11"/>
      <c r="H7" s="11"/>
      <c r="I7" s="11"/>
    </row>
    <row r="8" spans="1:9" s="10" customFormat="1" ht="15.95" customHeight="1">
      <c r="A8" s="7" t="s">
        <v>27</v>
      </c>
      <c r="B8" s="7" t="s">
        <v>28</v>
      </c>
      <c r="C8" s="11"/>
      <c r="D8" s="12"/>
      <c r="E8" s="11"/>
      <c r="F8" s="11"/>
      <c r="G8" s="11"/>
      <c r="H8" s="11"/>
      <c r="I8" s="11"/>
    </row>
    <row r="9" spans="1:9" s="10" customFormat="1" ht="15.95" customHeight="1">
      <c r="A9" s="7" t="s">
        <v>29</v>
      </c>
      <c r="B9" s="7" t="s">
        <v>30</v>
      </c>
      <c r="C9" s="11"/>
      <c r="D9" s="12"/>
      <c r="E9" s="11"/>
      <c r="F9" s="11"/>
      <c r="G9" s="11"/>
      <c r="H9" s="11"/>
      <c r="I9" s="11"/>
    </row>
    <row r="10" spans="1:9" s="10" customFormat="1" ht="15.95" customHeight="1">
      <c r="A10" s="7" t="s">
        <v>31</v>
      </c>
      <c r="B10" s="7" t="s">
        <v>32</v>
      </c>
      <c r="C10" s="11"/>
      <c r="D10" s="12"/>
      <c r="E10" s="11"/>
      <c r="F10" s="11"/>
      <c r="G10" s="11"/>
      <c r="H10" s="11"/>
      <c r="I10" s="11"/>
    </row>
    <row r="11" spans="1:9" s="10" customFormat="1" ht="15.95" customHeight="1">
      <c r="A11" s="7" t="s">
        <v>33</v>
      </c>
      <c r="B11" s="7" t="s">
        <v>34</v>
      </c>
      <c r="C11" s="11"/>
      <c r="D11" s="12"/>
      <c r="E11" s="11"/>
      <c r="F11" s="11"/>
      <c r="G11" s="11"/>
      <c r="H11" s="11"/>
      <c r="I11" s="11"/>
    </row>
    <row r="12" spans="1:9" s="10" customFormat="1" ht="15.95" customHeight="1">
      <c r="A12" s="7" t="s">
        <v>35</v>
      </c>
      <c r="B12" s="7" t="s">
        <v>36</v>
      </c>
      <c r="C12" s="11"/>
      <c r="D12" s="12"/>
      <c r="E12" s="11"/>
      <c r="F12" s="11"/>
      <c r="G12" s="11"/>
      <c r="H12" s="11"/>
      <c r="I12" s="11"/>
    </row>
    <row r="13" spans="1:9" s="10" customFormat="1" ht="15.95" customHeight="1">
      <c r="A13" s="7" t="s">
        <v>37</v>
      </c>
      <c r="B13" s="7" t="s">
        <v>38</v>
      </c>
      <c r="C13" s="11"/>
      <c r="D13" s="12"/>
      <c r="E13" s="11"/>
      <c r="F13" s="11"/>
      <c r="G13" s="11"/>
      <c r="H13" s="11"/>
      <c r="I13" s="11"/>
    </row>
    <row r="14" spans="1:9" s="10" customFormat="1" ht="15.95" customHeight="1">
      <c r="A14" s="7" t="s">
        <v>39</v>
      </c>
      <c r="B14" s="7" t="s">
        <v>40</v>
      </c>
      <c r="C14" s="11"/>
      <c r="D14" s="12"/>
      <c r="E14" s="11"/>
      <c r="F14" s="11"/>
      <c r="G14" s="11"/>
      <c r="H14" s="11"/>
      <c r="I14" s="11"/>
    </row>
    <row r="15" spans="1:9" s="10" customFormat="1" ht="15.95" customHeight="1">
      <c r="A15" s="11"/>
      <c r="B15" s="7" t="s">
        <v>41</v>
      </c>
      <c r="C15" s="11"/>
      <c r="D15" s="12"/>
      <c r="E15" s="11"/>
      <c r="F15" s="11"/>
      <c r="G15"/>
      <c r="H15" s="11"/>
      <c r="I15" s="11"/>
    </row>
    <row r="16" spans="1:9" s="10" customFormat="1" ht="15.95" customHeight="1">
      <c r="A16" s="11"/>
      <c r="B16" s="7" t="s">
        <v>42</v>
      </c>
      <c r="C16" s="11"/>
      <c r="D16" s="12"/>
      <c r="E16" s="11"/>
      <c r="F16" s="11"/>
      <c r="G16"/>
      <c r="H16" s="11"/>
      <c r="I16" s="11"/>
    </row>
    <row r="17" spans="1:9" s="10" customFormat="1" ht="15.95" customHeight="1">
      <c r="A17" s="11"/>
      <c r="B17" s="7" t="s">
        <v>43</v>
      </c>
      <c r="C17" s="11"/>
      <c r="D17" s="12"/>
      <c r="E17" s="11"/>
      <c r="F17" s="11"/>
      <c r="G17"/>
      <c r="H17" s="11"/>
      <c r="I17" s="11"/>
    </row>
  </sheetData>
  <sortState xmlns:xlrd2="http://schemas.microsoft.com/office/spreadsheetml/2017/richdata2" ref="A2:A12">
    <sortCondition ref="A2:A12"/>
  </sortState>
  <mergeCells count="2">
    <mergeCell ref="E4:I4"/>
    <mergeCell ref="E5:I5"/>
  </mergeCells>
  <hyperlinks>
    <hyperlink ref="E5:I5" r:id="rId1" display="https://www.figma.com/make/mtD5lsjvipyXS2GxYGZEMi/Tela-de-meu-espa%C3%A7o-e-widgets-07-01-2026?fullscreen=1&amp;t=ykc17x3aG6WcRjXj-1" xr:uid="{E62E8E27-790E-4785-99A8-D4117C3B210E}"/>
  </hyperlinks>
  <pageMargins left="0.7" right="0.7" top="0.75" bottom="0.75" header="0.3" footer="0.3"/>
  <pageSetup paperSize="9" orientation="portrait" horizontalDpi="0" verticalDpi="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5CAB1-6E27-401F-A327-07C0F80A114B}">
  <dimension ref="A1:G83"/>
  <sheetViews>
    <sheetView showGridLines="0" tabSelected="1" workbookViewId="0">
      <pane ySplit="1" topLeftCell="A54" activePane="bottomLeft" state="frozen"/>
      <selection pane="bottomLeft" activeCell="C58" sqref="C58"/>
    </sheetView>
  </sheetViews>
  <sheetFormatPr defaultRowHeight="15"/>
  <cols>
    <col min="1" max="1" width="20.85546875" style="2" customWidth="1"/>
    <col min="2" max="2" width="45" style="2" bestFit="1" customWidth="1"/>
    <col min="3" max="3" width="107.7109375" style="3" bestFit="1" customWidth="1"/>
    <col min="4" max="4" width="21.140625" style="2" customWidth="1"/>
    <col min="5" max="5" width="18.85546875" style="2" customWidth="1"/>
    <col min="6" max="6" width="22" style="2" customWidth="1"/>
    <col min="7" max="7" width="15.7109375" style="2" customWidth="1"/>
    <col min="8" max="16384" width="9.140625" style="2"/>
  </cols>
  <sheetData>
    <row r="1" spans="1:7" s="16" customFormat="1" ht="30" customHeight="1">
      <c r="A1" s="15" t="s">
        <v>44</v>
      </c>
      <c r="B1" s="15" t="s">
        <v>45</v>
      </c>
      <c r="C1" s="15" t="s">
        <v>46</v>
      </c>
      <c r="D1" s="15" t="s">
        <v>47</v>
      </c>
      <c r="E1" s="22" t="s">
        <v>48</v>
      </c>
      <c r="F1" s="22" t="s">
        <v>49</v>
      </c>
      <c r="G1" s="22" t="s">
        <v>1</v>
      </c>
    </row>
    <row r="2" spans="1:7">
      <c r="A2" s="33" t="s">
        <v>37</v>
      </c>
      <c r="B2" s="34" t="s">
        <v>37</v>
      </c>
      <c r="C2" s="35" t="s">
        <v>50</v>
      </c>
      <c r="D2" s="33"/>
      <c r="E2" s="14"/>
      <c r="F2" s="14"/>
      <c r="G2" s="13"/>
    </row>
    <row r="3" spans="1:7" ht="105">
      <c r="A3" s="33" t="s">
        <v>8</v>
      </c>
      <c r="B3" s="33" t="s">
        <v>8</v>
      </c>
      <c r="C3" s="42" t="s">
        <v>51</v>
      </c>
      <c r="D3" s="13">
        <v>12</v>
      </c>
      <c r="E3" s="14"/>
      <c r="F3" s="14"/>
      <c r="G3" s="13"/>
    </row>
    <row r="4" spans="1:7" ht="65.25" customHeight="1">
      <c r="A4" s="33" t="s">
        <v>25</v>
      </c>
      <c r="B4" s="36" t="s">
        <v>52</v>
      </c>
      <c r="C4" s="35" t="s">
        <v>53</v>
      </c>
      <c r="D4" s="33">
        <v>8</v>
      </c>
      <c r="E4" s="14"/>
      <c r="F4" s="14"/>
      <c r="G4" s="13"/>
    </row>
    <row r="5" spans="1:7" ht="51" customHeight="1">
      <c r="A5" s="33" t="s">
        <v>25</v>
      </c>
      <c r="B5" s="36" t="s">
        <v>54</v>
      </c>
      <c r="C5" s="35" t="s">
        <v>55</v>
      </c>
      <c r="D5" s="33">
        <v>8</v>
      </c>
      <c r="E5" s="14"/>
      <c r="F5" s="14"/>
      <c r="G5" s="13"/>
    </row>
    <row r="6" spans="1:7" ht="90">
      <c r="A6" s="33" t="s">
        <v>25</v>
      </c>
      <c r="B6" s="36" t="s">
        <v>56</v>
      </c>
      <c r="C6" s="35" t="s">
        <v>57</v>
      </c>
      <c r="D6" s="33">
        <v>2</v>
      </c>
      <c r="E6" s="14"/>
      <c r="F6" s="14"/>
      <c r="G6" s="13"/>
    </row>
    <row r="7" spans="1:7" ht="30">
      <c r="A7" s="33" t="s">
        <v>39</v>
      </c>
      <c r="B7" s="33" t="s">
        <v>58</v>
      </c>
      <c r="C7" s="35" t="s">
        <v>59</v>
      </c>
      <c r="D7" s="33">
        <v>2</v>
      </c>
      <c r="E7" s="14"/>
      <c r="F7" s="14"/>
      <c r="G7" s="13"/>
    </row>
    <row r="8" spans="1:7" ht="90">
      <c r="A8" s="33" t="s">
        <v>25</v>
      </c>
      <c r="B8" s="36" t="s">
        <v>60</v>
      </c>
      <c r="C8" s="35" t="s">
        <v>61</v>
      </c>
      <c r="D8" s="33">
        <v>6</v>
      </c>
      <c r="E8" s="14"/>
      <c r="F8" s="14"/>
      <c r="G8" s="13"/>
    </row>
    <row r="9" spans="1:7" ht="165">
      <c r="A9" s="33" t="s">
        <v>25</v>
      </c>
      <c r="B9" s="36" t="s">
        <v>62</v>
      </c>
      <c r="C9" s="35" t="s">
        <v>63</v>
      </c>
      <c r="D9" s="33">
        <v>8</v>
      </c>
      <c r="E9" s="14"/>
      <c r="F9" s="14"/>
      <c r="G9" s="13"/>
    </row>
    <row r="10" spans="1:7" ht="75">
      <c r="A10" s="33" t="s">
        <v>25</v>
      </c>
      <c r="B10" s="36" t="s">
        <v>64</v>
      </c>
      <c r="C10" s="35" t="s">
        <v>65</v>
      </c>
      <c r="D10" s="33">
        <v>6</v>
      </c>
      <c r="E10" s="14"/>
      <c r="F10" s="14"/>
      <c r="G10" s="13"/>
    </row>
    <row r="11" spans="1:7" ht="90">
      <c r="A11" s="33" t="s">
        <v>25</v>
      </c>
      <c r="B11" s="36" t="s">
        <v>66</v>
      </c>
      <c r="C11" s="35" t="s">
        <v>67</v>
      </c>
      <c r="D11" s="33">
        <v>6</v>
      </c>
      <c r="E11" s="14"/>
      <c r="F11" s="14"/>
      <c r="G11" s="13"/>
    </row>
    <row r="12" spans="1:7" ht="30">
      <c r="A12" s="33" t="s">
        <v>25</v>
      </c>
      <c r="B12" s="36" t="s">
        <v>68</v>
      </c>
      <c r="C12" s="35" t="s">
        <v>69</v>
      </c>
      <c r="D12" s="33">
        <v>3</v>
      </c>
      <c r="E12" s="14"/>
      <c r="F12" s="14"/>
      <c r="G12" s="13"/>
    </row>
    <row r="13" spans="1:7" ht="46.5" customHeight="1">
      <c r="A13" s="33" t="s">
        <v>39</v>
      </c>
      <c r="B13" s="33" t="s">
        <v>70</v>
      </c>
      <c r="C13" s="35" t="s">
        <v>71</v>
      </c>
      <c r="D13" s="33">
        <v>2</v>
      </c>
      <c r="E13" s="14"/>
      <c r="F13" s="14"/>
      <c r="G13" s="13"/>
    </row>
    <row r="14" spans="1:7" ht="240">
      <c r="A14" s="33" t="s">
        <v>29</v>
      </c>
      <c r="B14" s="33" t="s">
        <v>72</v>
      </c>
      <c r="C14" s="35" t="s">
        <v>73</v>
      </c>
      <c r="D14" s="13">
        <v>2</v>
      </c>
      <c r="E14" s="14"/>
      <c r="F14" s="14"/>
      <c r="G14" s="13"/>
    </row>
    <row r="15" spans="1:7" ht="195">
      <c r="A15" s="33" t="s">
        <v>29</v>
      </c>
      <c r="B15" s="33" t="s">
        <v>74</v>
      </c>
      <c r="C15" s="35" t="s">
        <v>75</v>
      </c>
      <c r="D15" s="13">
        <v>1</v>
      </c>
      <c r="E15" s="14"/>
      <c r="F15" s="14"/>
      <c r="G15" s="13"/>
    </row>
    <row r="16" spans="1:7" ht="45">
      <c r="A16" s="33" t="s">
        <v>29</v>
      </c>
      <c r="B16" s="46" t="s">
        <v>76</v>
      </c>
      <c r="C16" s="47" t="s">
        <v>77</v>
      </c>
      <c r="D16" s="48">
        <v>2</v>
      </c>
      <c r="E16" s="14"/>
      <c r="F16" s="14"/>
      <c r="G16" s="13"/>
    </row>
    <row r="17" spans="1:7" ht="135">
      <c r="A17" s="33" t="s">
        <v>29</v>
      </c>
      <c r="B17" s="33" t="s">
        <v>78</v>
      </c>
      <c r="C17" s="35" t="s">
        <v>79</v>
      </c>
      <c r="D17" s="13">
        <v>2</v>
      </c>
      <c r="E17" s="14"/>
      <c r="F17" s="14"/>
      <c r="G17" s="13"/>
    </row>
    <row r="18" spans="1:7" ht="45">
      <c r="A18" s="33" t="s">
        <v>25</v>
      </c>
      <c r="B18" s="36" t="s">
        <v>80</v>
      </c>
      <c r="C18" s="35" t="s">
        <v>81</v>
      </c>
      <c r="D18" s="33">
        <v>2</v>
      </c>
      <c r="E18" s="14"/>
      <c r="F18" s="14"/>
      <c r="G18" s="13"/>
    </row>
    <row r="19" spans="1:7" ht="30">
      <c r="A19" s="33" t="s">
        <v>25</v>
      </c>
      <c r="B19" s="36" t="s">
        <v>82</v>
      </c>
      <c r="C19" s="35" t="s">
        <v>83</v>
      </c>
      <c r="D19" s="33">
        <v>6</v>
      </c>
      <c r="E19" s="14"/>
      <c r="F19" s="14"/>
      <c r="G19" s="13"/>
    </row>
    <row r="20" spans="1:7" ht="30">
      <c r="A20" s="33" t="s">
        <v>25</v>
      </c>
      <c r="B20" s="36" t="s">
        <v>84</v>
      </c>
      <c r="C20" s="35" t="s">
        <v>85</v>
      </c>
      <c r="D20" s="33">
        <v>6</v>
      </c>
      <c r="E20" s="14"/>
      <c r="F20" s="14"/>
      <c r="G20" s="13"/>
    </row>
    <row r="21" spans="1:7" ht="75">
      <c r="A21" s="33" t="s">
        <v>25</v>
      </c>
      <c r="B21" s="36" t="s">
        <v>86</v>
      </c>
      <c r="C21" s="35" t="s">
        <v>87</v>
      </c>
      <c r="D21" s="33">
        <v>8</v>
      </c>
      <c r="E21" s="14"/>
      <c r="F21" s="14"/>
      <c r="G21" s="13"/>
    </row>
    <row r="22" spans="1:7" ht="30">
      <c r="A22" s="33" t="s">
        <v>25</v>
      </c>
      <c r="B22" s="36" t="s">
        <v>88</v>
      </c>
      <c r="C22" s="35" t="s">
        <v>89</v>
      </c>
      <c r="D22" s="33">
        <v>4</v>
      </c>
      <c r="E22" s="14"/>
      <c r="F22" s="14"/>
      <c r="G22" s="13"/>
    </row>
    <row r="23" spans="1:7" ht="30">
      <c r="A23" s="33" t="s">
        <v>25</v>
      </c>
      <c r="B23" s="36" t="s">
        <v>90</v>
      </c>
      <c r="C23" s="35" t="s">
        <v>91</v>
      </c>
      <c r="D23" s="33">
        <v>4</v>
      </c>
      <c r="E23" s="14"/>
      <c r="F23" s="14"/>
      <c r="G23" s="13"/>
    </row>
    <row r="24" spans="1:7" ht="30">
      <c r="A24" s="33" t="s">
        <v>25</v>
      </c>
      <c r="B24" s="36" t="s">
        <v>92</v>
      </c>
      <c r="C24" s="35" t="s">
        <v>93</v>
      </c>
      <c r="D24" s="33">
        <v>6</v>
      </c>
      <c r="E24" s="14"/>
      <c r="F24" s="14"/>
      <c r="G24" s="13"/>
    </row>
    <row r="25" spans="1:7" ht="45">
      <c r="A25" s="33" t="s">
        <v>25</v>
      </c>
      <c r="B25" s="38" t="s">
        <v>94</v>
      </c>
      <c r="C25" s="39" t="s">
        <v>95</v>
      </c>
      <c r="D25" s="32">
        <v>6</v>
      </c>
      <c r="E25" s="14"/>
      <c r="F25" s="14"/>
      <c r="G25" s="13"/>
    </row>
    <row r="26" spans="1:7" ht="45">
      <c r="A26" s="33" t="s">
        <v>25</v>
      </c>
      <c r="B26" s="38" t="s">
        <v>96</v>
      </c>
      <c r="C26" s="39" t="s">
        <v>95</v>
      </c>
      <c r="D26" s="32">
        <v>6</v>
      </c>
      <c r="E26" s="14"/>
      <c r="F26" s="14"/>
      <c r="G26" s="13"/>
    </row>
    <row r="27" spans="1:7" ht="45">
      <c r="A27" s="33" t="s">
        <v>25</v>
      </c>
      <c r="B27" s="38" t="s">
        <v>97</v>
      </c>
      <c r="C27" s="39" t="s">
        <v>95</v>
      </c>
      <c r="D27" s="32">
        <v>6</v>
      </c>
      <c r="E27" s="14"/>
      <c r="F27" s="14"/>
      <c r="G27" s="13"/>
    </row>
    <row r="28" spans="1:7" ht="45">
      <c r="A28" s="33" t="s">
        <v>25</v>
      </c>
      <c r="B28" s="38" t="s">
        <v>98</v>
      </c>
      <c r="C28" s="39" t="s">
        <v>95</v>
      </c>
      <c r="D28" s="32">
        <v>6</v>
      </c>
      <c r="E28" s="14"/>
      <c r="F28" s="14"/>
      <c r="G28" s="13"/>
    </row>
    <row r="29" spans="1:7" ht="60">
      <c r="A29" s="33" t="s">
        <v>25</v>
      </c>
      <c r="B29" s="36" t="s">
        <v>99</v>
      </c>
      <c r="C29" s="35" t="s">
        <v>100</v>
      </c>
      <c r="D29" s="32">
        <v>10</v>
      </c>
      <c r="E29" s="14"/>
      <c r="F29" s="14"/>
      <c r="G29" s="13"/>
    </row>
    <row r="30" spans="1:7" s="31" customFormat="1" ht="30">
      <c r="A30" s="40" t="s">
        <v>25</v>
      </c>
      <c r="B30" s="41" t="s">
        <v>101</v>
      </c>
      <c r="C30" s="45" t="s">
        <v>102</v>
      </c>
      <c r="D30" s="40">
        <v>6</v>
      </c>
      <c r="E30" s="30"/>
      <c r="F30" s="30"/>
      <c r="G30" s="29"/>
    </row>
    <row r="31" spans="1:7" ht="30">
      <c r="A31" s="33" t="s">
        <v>25</v>
      </c>
      <c r="B31" s="36" t="s">
        <v>103</v>
      </c>
      <c r="C31" s="35" t="s">
        <v>104</v>
      </c>
      <c r="D31" s="33">
        <v>3</v>
      </c>
      <c r="E31" s="14"/>
      <c r="F31" s="14"/>
      <c r="G31" s="13"/>
    </row>
    <row r="32" spans="1:7" ht="46.5" customHeight="1">
      <c r="A32" s="33" t="s">
        <v>39</v>
      </c>
      <c r="B32" s="33" t="s">
        <v>105</v>
      </c>
      <c r="C32" s="35" t="s">
        <v>106</v>
      </c>
      <c r="D32" s="33">
        <v>2</v>
      </c>
      <c r="E32" s="14"/>
      <c r="F32" s="14"/>
      <c r="G32" s="13"/>
    </row>
    <row r="33" spans="1:7" ht="240">
      <c r="A33" s="33" t="s">
        <v>29</v>
      </c>
      <c r="B33" s="33" t="s">
        <v>107</v>
      </c>
      <c r="C33" s="35" t="s">
        <v>108</v>
      </c>
      <c r="D33" s="13">
        <v>8</v>
      </c>
      <c r="E33" s="14"/>
      <c r="F33" s="14"/>
      <c r="G33" s="13"/>
    </row>
    <row r="34" spans="1:7" ht="135">
      <c r="A34" s="33" t="s">
        <v>29</v>
      </c>
      <c r="B34" s="33" t="s">
        <v>109</v>
      </c>
      <c r="C34" s="35" t="s">
        <v>110</v>
      </c>
      <c r="D34" s="13">
        <v>6</v>
      </c>
      <c r="E34" s="14"/>
      <c r="F34" s="14"/>
      <c r="G34" s="13"/>
    </row>
    <row r="35" spans="1:7" ht="135">
      <c r="A35" s="33" t="s">
        <v>29</v>
      </c>
      <c r="B35" s="33" t="s">
        <v>111</v>
      </c>
      <c r="C35" s="35" t="s">
        <v>112</v>
      </c>
      <c r="D35" s="13">
        <v>12</v>
      </c>
      <c r="E35" s="14"/>
      <c r="F35" s="14"/>
      <c r="G35" s="13"/>
    </row>
    <row r="36" spans="1:7" ht="135">
      <c r="A36" s="33" t="s">
        <v>29</v>
      </c>
      <c r="B36" s="33" t="s">
        <v>113</v>
      </c>
      <c r="C36" s="35" t="s">
        <v>114</v>
      </c>
      <c r="D36" s="13">
        <v>2</v>
      </c>
      <c r="E36" s="14"/>
      <c r="F36" s="14"/>
      <c r="G36" s="13"/>
    </row>
    <row r="37" spans="1:7" ht="75">
      <c r="A37" s="33" t="s">
        <v>25</v>
      </c>
      <c r="B37" s="36" t="s">
        <v>115</v>
      </c>
      <c r="C37" s="35" t="s">
        <v>116</v>
      </c>
      <c r="D37" s="33">
        <v>8</v>
      </c>
      <c r="E37" s="14"/>
      <c r="F37" s="14"/>
      <c r="G37" s="13"/>
    </row>
    <row r="38" spans="1:7" ht="45" customHeight="1">
      <c r="A38" s="33" t="s">
        <v>39</v>
      </c>
      <c r="B38" s="33" t="s">
        <v>117</v>
      </c>
      <c r="C38" s="35" t="s">
        <v>118</v>
      </c>
      <c r="D38" s="33">
        <v>2</v>
      </c>
      <c r="E38" s="14"/>
      <c r="F38" s="14"/>
      <c r="G38" s="13"/>
    </row>
    <row r="39" spans="1:7" ht="45">
      <c r="A39" s="33" t="s">
        <v>29</v>
      </c>
      <c r="B39" s="33" t="s">
        <v>119</v>
      </c>
      <c r="C39" s="35" t="s">
        <v>120</v>
      </c>
      <c r="D39" s="13">
        <v>1</v>
      </c>
      <c r="E39" s="14"/>
      <c r="F39" s="14"/>
      <c r="G39" s="13"/>
    </row>
    <row r="40" spans="1:7" ht="75">
      <c r="A40" s="33" t="s">
        <v>25</v>
      </c>
      <c r="B40" s="36" t="s">
        <v>121</v>
      </c>
      <c r="C40" s="35" t="s">
        <v>122</v>
      </c>
      <c r="D40" s="33">
        <v>8</v>
      </c>
      <c r="E40" s="14"/>
      <c r="F40" s="14"/>
      <c r="G40" s="13"/>
    </row>
    <row r="41" spans="1:7" ht="75">
      <c r="A41" s="33" t="s">
        <v>25</v>
      </c>
      <c r="B41" s="36" t="s">
        <v>123</v>
      </c>
      <c r="C41" s="35" t="s">
        <v>124</v>
      </c>
      <c r="D41" s="33">
        <v>8</v>
      </c>
      <c r="E41" s="14"/>
      <c r="F41" s="14"/>
      <c r="G41" s="13"/>
    </row>
    <row r="42" spans="1:7" ht="45" customHeight="1">
      <c r="A42" s="33" t="s">
        <v>39</v>
      </c>
      <c r="B42" s="33" t="s">
        <v>125</v>
      </c>
      <c r="C42" s="35" t="s">
        <v>126</v>
      </c>
      <c r="D42" s="33">
        <v>2</v>
      </c>
      <c r="E42" s="14"/>
      <c r="F42" s="14"/>
      <c r="G42" s="13"/>
    </row>
    <row r="43" spans="1:7" ht="150">
      <c r="A43" s="33" t="s">
        <v>29</v>
      </c>
      <c r="B43" s="33" t="s">
        <v>127</v>
      </c>
      <c r="C43" s="35" t="s">
        <v>128</v>
      </c>
      <c r="D43" s="13">
        <v>8</v>
      </c>
      <c r="E43" s="14"/>
      <c r="F43" s="14"/>
      <c r="G43" s="13"/>
    </row>
    <row r="44" spans="1:7" ht="30">
      <c r="A44" s="33" t="s">
        <v>25</v>
      </c>
      <c r="B44" s="36" t="s">
        <v>129</v>
      </c>
      <c r="C44" s="35" t="s">
        <v>130</v>
      </c>
      <c r="D44" s="33">
        <v>4</v>
      </c>
      <c r="E44" s="14"/>
      <c r="F44" s="14"/>
      <c r="G44" s="13"/>
    </row>
    <row r="45" spans="1:7" ht="30">
      <c r="A45" s="33" t="s">
        <v>25</v>
      </c>
      <c r="B45" s="36" t="s">
        <v>131</v>
      </c>
      <c r="C45" s="37" t="s">
        <v>132</v>
      </c>
      <c r="D45" s="33">
        <v>5</v>
      </c>
      <c r="E45" s="14"/>
      <c r="F45" s="14"/>
      <c r="G45" s="13"/>
    </row>
    <row r="46" spans="1:7" ht="45">
      <c r="A46" s="33" t="s">
        <v>25</v>
      </c>
      <c r="B46" s="36" t="s">
        <v>133</v>
      </c>
      <c r="C46" s="35" t="s">
        <v>134</v>
      </c>
      <c r="D46" s="33">
        <v>3</v>
      </c>
      <c r="E46" s="14"/>
      <c r="F46" s="14"/>
      <c r="G46" s="13"/>
    </row>
    <row r="47" spans="1:7" ht="45">
      <c r="A47" s="33" t="s">
        <v>25</v>
      </c>
      <c r="B47" s="49" t="s">
        <v>135</v>
      </c>
      <c r="C47" s="39" t="s">
        <v>136</v>
      </c>
      <c r="D47" s="32">
        <v>6</v>
      </c>
      <c r="E47" s="14"/>
      <c r="F47" s="14"/>
      <c r="G47" s="13"/>
    </row>
    <row r="48" spans="1:7" ht="45">
      <c r="A48" s="33" t="s">
        <v>25</v>
      </c>
      <c r="B48" s="49" t="s">
        <v>137</v>
      </c>
      <c r="C48" s="39" t="s">
        <v>136</v>
      </c>
      <c r="D48" s="32">
        <v>6</v>
      </c>
      <c r="E48" s="14"/>
      <c r="F48" s="14"/>
      <c r="G48" s="13"/>
    </row>
    <row r="49" spans="1:7" ht="45">
      <c r="A49" s="33" t="s">
        <v>25</v>
      </c>
      <c r="B49" s="49" t="s">
        <v>138</v>
      </c>
      <c r="C49" s="39" t="s">
        <v>136</v>
      </c>
      <c r="D49" s="32">
        <v>6</v>
      </c>
      <c r="E49" s="14"/>
      <c r="F49" s="14"/>
      <c r="G49" s="13"/>
    </row>
    <row r="50" spans="1:7" ht="45">
      <c r="A50" s="33" t="s">
        <v>25</v>
      </c>
      <c r="B50" s="49" t="s">
        <v>139</v>
      </c>
      <c r="C50" s="39" t="s">
        <v>136</v>
      </c>
      <c r="D50" s="32">
        <v>6</v>
      </c>
      <c r="E50" s="14"/>
      <c r="F50" s="14"/>
      <c r="G50" s="13"/>
    </row>
    <row r="51" spans="1:7" ht="44.25" customHeight="1">
      <c r="A51" s="33" t="s">
        <v>39</v>
      </c>
      <c r="B51" s="33" t="s">
        <v>140</v>
      </c>
      <c r="C51" s="35" t="s">
        <v>141</v>
      </c>
      <c r="D51" s="33">
        <v>2</v>
      </c>
      <c r="E51" s="14"/>
      <c r="F51" s="14"/>
      <c r="G51" s="13"/>
    </row>
    <row r="52" spans="1:7" ht="135">
      <c r="A52" s="33" t="s">
        <v>29</v>
      </c>
      <c r="B52" s="33" t="s">
        <v>142</v>
      </c>
      <c r="C52" s="35" t="s">
        <v>143</v>
      </c>
      <c r="D52" s="13">
        <v>2</v>
      </c>
      <c r="E52" s="14"/>
      <c r="F52" s="14"/>
      <c r="G52" s="13"/>
    </row>
    <row r="53" spans="1:7">
      <c r="A53" s="33" t="s">
        <v>29</v>
      </c>
      <c r="B53" s="33" t="s">
        <v>144</v>
      </c>
      <c r="C53" s="35"/>
      <c r="D53" s="13">
        <v>2</v>
      </c>
      <c r="E53" s="14"/>
      <c r="F53" s="14"/>
      <c r="G53" s="13"/>
    </row>
    <row r="54" spans="1:7" ht="75">
      <c r="A54" s="13" t="s">
        <v>29</v>
      </c>
      <c r="B54" s="33" t="s">
        <v>145</v>
      </c>
      <c r="C54" s="36" t="s">
        <v>146</v>
      </c>
      <c r="D54" s="13">
        <v>6</v>
      </c>
      <c r="E54" s="14"/>
      <c r="F54" s="14"/>
      <c r="G54" s="13"/>
    </row>
    <row r="55" spans="1:7" ht="60">
      <c r="A55" s="33" t="s">
        <v>25</v>
      </c>
      <c r="B55" s="36" t="s">
        <v>147</v>
      </c>
      <c r="C55" s="35" t="s">
        <v>148</v>
      </c>
      <c r="D55" s="33">
        <v>4</v>
      </c>
      <c r="E55" s="14"/>
      <c r="F55" s="14"/>
      <c r="G55" s="13"/>
    </row>
    <row r="56" spans="1:7" ht="30">
      <c r="A56" s="33" t="s">
        <v>25</v>
      </c>
      <c r="B56" s="36" t="s">
        <v>149</v>
      </c>
      <c r="C56" s="35" t="s">
        <v>150</v>
      </c>
      <c r="D56" s="33">
        <v>4</v>
      </c>
      <c r="E56" s="14"/>
      <c r="F56" s="14"/>
      <c r="G56" s="13"/>
    </row>
    <row r="57" spans="1:7" ht="45" customHeight="1">
      <c r="A57" s="33" t="s">
        <v>39</v>
      </c>
      <c r="B57" s="33" t="s">
        <v>151</v>
      </c>
      <c r="C57" s="35" t="s">
        <v>152</v>
      </c>
      <c r="D57" s="33">
        <v>2</v>
      </c>
      <c r="E57" s="14"/>
      <c r="F57" s="14"/>
      <c r="G57" s="13"/>
    </row>
    <row r="58" spans="1:7" ht="75">
      <c r="A58" s="33" t="s">
        <v>29</v>
      </c>
      <c r="B58" s="46" t="s">
        <v>153</v>
      </c>
      <c r="C58" s="47" t="s">
        <v>154</v>
      </c>
      <c r="D58" s="48">
        <v>2</v>
      </c>
      <c r="E58" s="14"/>
      <c r="F58" s="14"/>
      <c r="G58" s="13"/>
    </row>
    <row r="59" spans="1:7" ht="30">
      <c r="A59" s="33" t="s">
        <v>29</v>
      </c>
      <c r="B59" s="50" t="s">
        <v>155</v>
      </c>
      <c r="C59" s="47" t="s">
        <v>150</v>
      </c>
      <c r="D59" s="48">
        <v>2</v>
      </c>
      <c r="E59" s="14"/>
      <c r="F59" s="14"/>
      <c r="G59" s="13"/>
    </row>
    <row r="60" spans="1:7" ht="30">
      <c r="A60" s="33" t="s">
        <v>25</v>
      </c>
      <c r="B60" s="36" t="s">
        <v>156</v>
      </c>
      <c r="C60" s="37" t="s">
        <v>157</v>
      </c>
      <c r="D60" s="33">
        <v>4</v>
      </c>
      <c r="E60" s="14"/>
      <c r="F60" s="14"/>
      <c r="G60" s="13"/>
    </row>
    <row r="61" spans="1:7" ht="45">
      <c r="A61" s="33" t="s">
        <v>25</v>
      </c>
      <c r="B61" s="36" t="s">
        <v>158</v>
      </c>
      <c r="C61" s="37" t="s">
        <v>159</v>
      </c>
      <c r="D61" s="33">
        <v>4</v>
      </c>
      <c r="E61" s="14"/>
      <c r="F61" s="14"/>
      <c r="G61" s="13"/>
    </row>
    <row r="62" spans="1:7">
      <c r="A62" s="33" t="s">
        <v>25</v>
      </c>
      <c r="B62" s="36" t="s">
        <v>160</v>
      </c>
      <c r="C62" s="37"/>
      <c r="D62" s="33">
        <v>2</v>
      </c>
      <c r="E62" s="14"/>
      <c r="F62" s="14"/>
      <c r="G62" s="13"/>
    </row>
    <row r="63" spans="1:7" ht="30">
      <c r="A63" s="33" t="s">
        <v>25</v>
      </c>
      <c r="B63" s="36" t="s">
        <v>161</v>
      </c>
      <c r="C63" s="35" t="s">
        <v>162</v>
      </c>
      <c r="D63" s="33">
        <v>4</v>
      </c>
      <c r="E63" s="14"/>
      <c r="F63" s="14"/>
      <c r="G63" s="13"/>
    </row>
    <row r="64" spans="1:7" ht="45.75" customHeight="1">
      <c r="A64" s="33" t="s">
        <v>39</v>
      </c>
      <c r="B64" s="33" t="s">
        <v>163</v>
      </c>
      <c r="C64" s="35" t="s">
        <v>164</v>
      </c>
      <c r="D64" s="33">
        <v>2</v>
      </c>
      <c r="E64" s="14"/>
      <c r="F64" s="14"/>
      <c r="G64" s="13"/>
    </row>
    <row r="65" spans="1:7">
      <c r="A65" s="33" t="s">
        <v>29</v>
      </c>
      <c r="B65" s="46" t="s">
        <v>165</v>
      </c>
      <c r="C65" s="47" t="s">
        <v>166</v>
      </c>
      <c r="D65" s="48">
        <v>2</v>
      </c>
      <c r="E65" s="14"/>
      <c r="F65" s="14"/>
      <c r="G65" s="13"/>
    </row>
    <row r="66" spans="1:7" ht="30">
      <c r="A66" s="33" t="s">
        <v>25</v>
      </c>
      <c r="B66" s="36" t="s">
        <v>167</v>
      </c>
      <c r="C66" s="35" t="s">
        <v>168</v>
      </c>
      <c r="D66" s="33">
        <v>2</v>
      </c>
      <c r="E66" s="14"/>
      <c r="F66" s="14"/>
      <c r="G66" s="13"/>
    </row>
    <row r="67" spans="1:7" ht="44.25" customHeight="1">
      <c r="A67" s="33" t="s">
        <v>39</v>
      </c>
      <c r="B67" s="33" t="s">
        <v>169</v>
      </c>
      <c r="C67" s="35" t="s">
        <v>170</v>
      </c>
      <c r="D67" s="33">
        <v>2</v>
      </c>
      <c r="E67" s="14"/>
      <c r="F67" s="14"/>
      <c r="G67" s="13"/>
    </row>
    <row r="68" spans="1:7" ht="90">
      <c r="A68" s="33" t="s">
        <v>29</v>
      </c>
      <c r="B68" s="33" t="s">
        <v>171</v>
      </c>
      <c r="C68" s="35" t="s">
        <v>172</v>
      </c>
      <c r="D68" s="13">
        <v>2</v>
      </c>
      <c r="E68" s="14"/>
      <c r="F68" s="14"/>
      <c r="G68" s="13"/>
    </row>
    <row r="69" spans="1:7" ht="30">
      <c r="A69" s="33" t="s">
        <v>25</v>
      </c>
      <c r="B69" s="33" t="s">
        <v>173</v>
      </c>
      <c r="C69" s="35" t="s">
        <v>174</v>
      </c>
      <c r="D69" s="33">
        <v>6</v>
      </c>
      <c r="E69" s="14"/>
      <c r="F69" s="14"/>
      <c r="G69" s="13"/>
    </row>
    <row r="70" spans="1:7" ht="43.5" customHeight="1">
      <c r="A70" s="33" t="s">
        <v>39</v>
      </c>
      <c r="B70" s="33" t="s">
        <v>175</v>
      </c>
      <c r="C70" s="35" t="s">
        <v>176</v>
      </c>
      <c r="D70" s="33">
        <v>2</v>
      </c>
      <c r="E70" s="14"/>
      <c r="F70" s="14"/>
      <c r="G70" s="13"/>
    </row>
    <row r="71" spans="1:7" ht="135">
      <c r="A71" s="33" t="s">
        <v>29</v>
      </c>
      <c r="B71" s="33" t="s">
        <v>177</v>
      </c>
      <c r="C71" s="35" t="s">
        <v>178</v>
      </c>
      <c r="D71" s="13">
        <v>6</v>
      </c>
      <c r="E71" s="14"/>
      <c r="F71" s="14"/>
      <c r="G71" s="13"/>
    </row>
    <row r="72" spans="1:7">
      <c r="A72" s="33" t="s">
        <v>29</v>
      </c>
      <c r="B72" s="46" t="s">
        <v>179</v>
      </c>
      <c r="C72" s="47" t="s">
        <v>180</v>
      </c>
      <c r="D72" s="48">
        <v>1</v>
      </c>
      <c r="E72" s="14"/>
      <c r="F72" s="14"/>
      <c r="G72" s="13"/>
    </row>
    <row r="73" spans="1:7" ht="75">
      <c r="A73" s="33" t="s">
        <v>29</v>
      </c>
      <c r="B73" s="33" t="s">
        <v>181</v>
      </c>
      <c r="C73" s="35" t="s">
        <v>182</v>
      </c>
      <c r="D73" s="13">
        <v>2</v>
      </c>
      <c r="E73" s="14"/>
      <c r="F73" s="14"/>
      <c r="G73" s="13"/>
    </row>
    <row r="74" spans="1:7" ht="150">
      <c r="A74" s="33" t="s">
        <v>29</v>
      </c>
      <c r="B74" s="33" t="s">
        <v>183</v>
      </c>
      <c r="C74" s="35" t="s">
        <v>184</v>
      </c>
      <c r="D74" s="13">
        <v>2</v>
      </c>
      <c r="E74" s="14"/>
      <c r="F74" s="14"/>
      <c r="G74" s="13"/>
    </row>
    <row r="75" spans="1:7" ht="60">
      <c r="A75" s="33" t="s">
        <v>33</v>
      </c>
      <c r="B75" s="33" t="s">
        <v>185</v>
      </c>
      <c r="C75" s="43" t="s">
        <v>186</v>
      </c>
      <c r="D75" s="13">
        <v>6</v>
      </c>
      <c r="E75" s="14"/>
      <c r="F75" s="14"/>
      <c r="G75" s="13"/>
    </row>
    <row r="76" spans="1:7" ht="90">
      <c r="A76" s="33" t="s">
        <v>27</v>
      </c>
      <c r="B76" s="33" t="s">
        <v>187</v>
      </c>
      <c r="C76" s="35" t="s">
        <v>188</v>
      </c>
      <c r="D76" s="13">
        <v>2</v>
      </c>
      <c r="E76" s="14"/>
      <c r="F76" s="14"/>
      <c r="G76" s="13"/>
    </row>
    <row r="77" spans="1:7" ht="30">
      <c r="A77" s="33" t="s">
        <v>27</v>
      </c>
      <c r="B77" s="33" t="s">
        <v>189</v>
      </c>
      <c r="C77" s="35" t="s">
        <v>190</v>
      </c>
      <c r="D77" s="13">
        <v>4</v>
      </c>
      <c r="E77" s="13"/>
      <c r="F77" s="13"/>
      <c r="G77" s="13"/>
    </row>
    <row r="78" spans="1:7">
      <c r="A78" s="33" t="s">
        <v>27</v>
      </c>
      <c r="B78" s="33" t="s">
        <v>191</v>
      </c>
      <c r="C78" s="35" t="s">
        <v>192</v>
      </c>
      <c r="D78" s="13">
        <v>6</v>
      </c>
      <c r="E78" s="13"/>
      <c r="F78" s="13"/>
      <c r="G78" s="13"/>
    </row>
    <row r="79" spans="1:7">
      <c r="A79" s="33" t="s">
        <v>33</v>
      </c>
      <c r="B79" s="33" t="s">
        <v>193</v>
      </c>
      <c r="C79" s="35" t="s">
        <v>193</v>
      </c>
      <c r="D79" s="17" cm="1">
        <f t="array" ref="D79">IF(Tabela1[[#This Row],[Título da atividade]]="", "", (SUM(SUMIFS(D:D, A:A, {"Execução de testes";"Desenvolvimento"})))*0.3)</f>
        <v>86.7</v>
      </c>
      <c r="E79" s="13"/>
      <c r="F79" s="13"/>
      <c r="G79" s="13"/>
    </row>
    <row r="80" spans="1:7">
      <c r="A80" s="33" t="s">
        <v>31</v>
      </c>
      <c r="B80" s="33" t="s">
        <v>35</v>
      </c>
      <c r="C80" s="35" t="s">
        <v>35</v>
      </c>
      <c r="D80" s="13"/>
      <c r="E80" s="13"/>
      <c r="F80" s="13"/>
      <c r="G80" s="13"/>
    </row>
    <row r="81" spans="1:7" ht="391.5" customHeight="1">
      <c r="A81" s="33" t="s">
        <v>23</v>
      </c>
      <c r="B81" s="34" t="s">
        <v>194</v>
      </c>
      <c r="C81" s="44" t="s">
        <v>195</v>
      </c>
      <c r="D81" s="13">
        <v>1</v>
      </c>
      <c r="E81" s="13"/>
      <c r="F81" s="13"/>
      <c r="G81" s="13"/>
    </row>
    <row r="82" spans="1:7">
      <c r="A82" s="13" t="s">
        <v>196</v>
      </c>
      <c r="B82" s="13"/>
      <c r="C82" s="13"/>
      <c r="D82" s="13">
        <f>SUBTOTAL(109,Tabela1[Esforço estimado])</f>
        <v>426.7</v>
      </c>
      <c r="E82" s="13"/>
      <c r="F82" s="13"/>
      <c r="G82" s="13"/>
    </row>
    <row r="83" spans="1:7">
      <c r="C83" s="2"/>
    </row>
  </sheetData>
  <conditionalFormatting sqref="A2:A81">
    <cfRule type="containsText" dxfId="40" priority="1" operator="containsText" text="Deploy">
      <formula>NOT(ISERROR(SEARCH("Deploy",A2)))</formula>
    </cfRule>
    <cfRule type="containsText" dxfId="39" priority="2" operator="containsText" text="Indiretos - Cerimonias da equipe">
      <formula>NOT(ISERROR(SEARCH("Indiretos - Cerimonias da equipe",A2)))</formula>
    </cfRule>
    <cfRule type="containsText" dxfId="38" priority="3" operator="containsText" text="Bug retrabalho">
      <formula>NOT(ISERROR(SEARCH("Bug retrabalho",A2)))</formula>
    </cfRule>
    <cfRule type="containsText" dxfId="37" priority="4" operator="containsText" text="Documentação">
      <formula>NOT(ISERROR(SEARCH("Documentação",A2)))</formula>
    </cfRule>
    <cfRule type="containsText" dxfId="36" priority="5" operator="containsText" text="Reteste">
      <formula>NOT(ISERROR(SEARCH("Reteste",A2)))</formula>
    </cfRule>
    <cfRule type="containsText" dxfId="35" priority="6" operator="containsText" text="Execução de testes">
      <formula>NOT(ISERROR(SEARCH("Execução de testes",A2)))</formula>
    </cfRule>
    <cfRule type="containsText" dxfId="34" priority="7" operator="containsText" text="Análise de testes">
      <formula>NOT(ISERROR(SEARCH("Análise de testes",A2)))</formula>
    </cfRule>
    <cfRule type="containsText" dxfId="33" priority="8" operator="containsText" text="Teste de mesa">
      <formula>NOT(ISERROR(SEARCH("Teste de mesa",A2)))</formula>
    </cfRule>
    <cfRule type="containsText" dxfId="32" priority="9" operator="containsText" text="Desenvolvimento">
      <formula>NOT(ISERROR(SEARCH("Desenvolvimento",A2)))</formula>
    </cfRule>
    <cfRule type="containsText" dxfId="31" priority="10" operator="containsText" text="Spike">
      <formula>NOT(ISERROR(SEARCH("Spike",A2)))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8C8795-E519-429B-99E2-81AD74C01C4C}">
          <x14:formula1>
            <xm:f>produto!$A$2:$A$17</xm:f>
          </x14:formula1>
          <xm:sqref>A84:A1048576 A2:A81</xm:sqref>
        </x14:dataValidation>
        <x14:dataValidation type="list" allowBlank="1" showInputMessage="1" showErrorMessage="1" xr:uid="{064EB586-8E78-40DF-AA6F-6C9CE081175B}">
          <x14:formula1>
            <xm:f>produto!$B$2:$B$17</xm:f>
          </x14:formula1>
          <xm:sqref>G84:G1048576 G2:G81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C7C4-D7F7-488B-8B52-5A052399EBB8}">
  <dimension ref="A1:L31"/>
  <sheetViews>
    <sheetView showGridLines="0" topLeftCell="A31" workbookViewId="0">
      <selection activeCell="F31" sqref="F31"/>
    </sheetView>
  </sheetViews>
  <sheetFormatPr defaultRowHeight="15"/>
  <cols>
    <col min="1" max="1" width="18.140625" style="6" bestFit="1" customWidth="1"/>
    <col min="2" max="2" width="16.5703125" style="6" bestFit="1" customWidth="1"/>
    <col min="3" max="3" width="20.140625" style="24" bestFit="1" customWidth="1"/>
    <col min="4" max="4" width="30.42578125" style="24" bestFit="1" customWidth="1"/>
    <col min="5" max="5" width="42.7109375" style="26" customWidth="1"/>
    <col min="6" max="6" width="107.140625" style="26" customWidth="1"/>
    <col min="7" max="7" width="19.28515625" style="6" bestFit="1" customWidth="1"/>
    <col min="8" max="8" width="17.5703125" style="28" bestFit="1" customWidth="1"/>
    <col min="9" max="9" width="20" style="28" bestFit="1" customWidth="1"/>
    <col min="10" max="10" width="25.5703125" style="24" bestFit="1" customWidth="1"/>
    <col min="11" max="11" width="29.28515625" style="24" bestFit="1" customWidth="1"/>
    <col min="12" max="12" width="14" style="6" bestFit="1" customWidth="1"/>
  </cols>
  <sheetData>
    <row r="1" spans="1:12" s="23" customFormat="1">
      <c r="A1" s="24" t="s">
        <v>197</v>
      </c>
      <c r="B1" s="24" t="s">
        <v>198</v>
      </c>
      <c r="C1" s="24" t="s">
        <v>199</v>
      </c>
      <c r="D1" s="24" t="s">
        <v>200</v>
      </c>
      <c r="E1" s="26" t="s">
        <v>201</v>
      </c>
      <c r="F1" s="25" t="s">
        <v>202</v>
      </c>
      <c r="G1" s="24" t="s">
        <v>203</v>
      </c>
      <c r="H1" s="27" t="s">
        <v>204</v>
      </c>
      <c r="I1" s="27" t="s">
        <v>205</v>
      </c>
      <c r="J1" s="24" t="s">
        <v>206</v>
      </c>
      <c r="K1" s="24" t="s">
        <v>207</v>
      </c>
      <c r="L1" s="24" t="s">
        <v>208</v>
      </c>
    </row>
    <row r="2" spans="1:12">
      <c r="A2" s="6">
        <f>IF(Tabela1[[#This Row],[Título da atividade]]="","",produto!$E$2)</f>
        <v>4874953</v>
      </c>
      <c r="B2" s="6">
        <f>IF(Tabela1[[#This Row],[Título da atividade]]="","",produto!$F$2)</f>
        <v>6368994</v>
      </c>
      <c r="C2" s="24" t="str">
        <f>IF(Tabela1[[#This Row],[Título da atividade]]="","",produto!$G$2)</f>
        <v>Não iniciado</v>
      </c>
      <c r="D2" s="24" t="str">
        <f>IF(Tabela1[[#This Row],[Tipo da atividade]]="","",Tabela1[[#This Row],[Tipo da atividade]])</f>
        <v>Spike</v>
      </c>
      <c r="E2" s="26" t="str">
        <f>IF(Tabela1[[#This Row],[Título da atividade]]=""," ",_xlfn.CONCAT(produto!$D$2,"",Tabela1[[#This Row],[Título da atividade]]))</f>
        <v>[Widgets] Spike</v>
      </c>
      <c r="F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detalhada da atividade de Spike:</v>
      </c>
      <c r="G2" s="6" t="str">
        <f>IF(Tabela1[[#This Row],[Título da atividade]]="","",IF(Tabela1[[#This Row],[Esforço estimado]]&gt;0,Tabela1[[#This Row],[Esforço estimado]],""))</f>
        <v/>
      </c>
      <c r="H2" s="28" t="str">
        <f>IF(Tabela1[[#This Row],[Título da atividade]]="","",IF(Tabela1[[#This Row],[Início estimado]]&gt;0,Tabela1[[#This Row],[Início estimado]],""))</f>
        <v/>
      </c>
      <c r="I2" s="28" t="str">
        <f>IF(Tabela1[[#This Row],[Título da atividade]]="","",IF(Tabela1[[#This Row],[Término estimado]]&gt;0,Tabela1[[#This Row],[Término estimado]],""))</f>
        <v/>
      </c>
      <c r="J2" s="24" t="str">
        <f>IF(Tabela1[[#This Row],[Título da atividade]]="","",produto!$H$2)</f>
        <v>Twygo</v>
      </c>
      <c r="K2" s="24" t="str">
        <f>IF(Tabela1[[#This Row],[Título da atividade]]="","",produto!$I$2)</f>
        <v>Twygo</v>
      </c>
      <c r="L2" s="6" t="str">
        <f>IF(Tabela1[[#This Row],[Título da atividade]]="","",IF(Tabela1[[#This Row],[Responsável]]&gt;0,Tabela1[[#This Row],[Responsável]],""))</f>
        <v/>
      </c>
    </row>
    <row r="3" spans="1:12" ht="105">
      <c r="A3" s="6">
        <f>IF(Tabela1[[#This Row],[Título da atividade]]="","",produto!$E$2)</f>
        <v>4874953</v>
      </c>
      <c r="B3" s="6">
        <f>IF(Tabela1[[#This Row],[Título da atividade]]="","",produto!$F$2)</f>
        <v>6368994</v>
      </c>
      <c r="C3" s="24" t="str">
        <f>IF(Tabela1[[#This Row],[Título da atividade]]="","",produto!$G$2)</f>
        <v>Não iniciado</v>
      </c>
      <c r="D3" s="24" t="str">
        <f>IF(Tabela1[[#This Row],[Tipo da atividade]]="","",Tabela1[[#This Row],[Tipo da atividade]])</f>
        <v>Análise de testes</v>
      </c>
      <c r="E3" s="26" t="str">
        <f>IF(Tabela1[[#This Row],[Título da atividade]]=""," ",_xlfn.CONCAT(produto!$D$2,"",Tabela1[[#This Row],[Título da atividade]]))</f>
        <v>[Widgets] Análise de testes</v>
      </c>
      <c r="F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- Mapa mental
	utilizando estrutura para conversão em .xml, com suítes, casos de testes - título, objetivo, pré-requisitos -, passos e resultado esperado)
- Converter .xmind para .xml
- Preparar estrutura (suítes de testes) e importar casos de testes para Testlink
- Criar plano de testes/baselines
- Adicionar e atribuir casos para execução</v>
      </c>
      <c r="G3" s="6">
        <f>IF(Tabela1[[#This Row],[Título da atividade]]="","",IF(Tabela1[[#This Row],[Esforço estimado]]&gt;0,Tabela1[[#This Row],[Esforço estimado]],""))</f>
        <v>12</v>
      </c>
      <c r="H3" s="28" t="str">
        <f>IF(Tabela1[[#This Row],[Título da atividade]]="","",IF(Tabela1[[#This Row],[Início estimado]]&gt;0,Tabela1[[#This Row],[Início estimado]],""))</f>
        <v/>
      </c>
      <c r="I3" s="28" t="str">
        <f>IF(Tabela1[[#This Row],[Título da atividade]]="","",IF(Tabela1[[#This Row],[Término estimado]]&gt;0,Tabela1[[#This Row],[Término estimado]],""))</f>
        <v/>
      </c>
      <c r="J3" s="24" t="str">
        <f>IF(Tabela1[[#This Row],[Título da atividade]]="","",produto!$H$2)</f>
        <v>Twygo</v>
      </c>
      <c r="K3" s="24" t="str">
        <f>IF(Tabela1[[#This Row],[Título da atividade]]="","",produto!$I$2)</f>
        <v>Twygo</v>
      </c>
      <c r="L3" s="6" t="str">
        <f>IF(Tabela1[[#This Row],[Título da atividade]]="","",IF(Tabela1[[#This Row],[Responsável]]&gt;0,Tabela1[[#This Row],[Responsável]],""))</f>
        <v/>
      </c>
    </row>
    <row r="4" spans="1:12" ht="105">
      <c r="A4" s="6">
        <f>IF(Tabela1[[#This Row],[Título da atividade]]="","",produto!$E$2)</f>
        <v>4874953</v>
      </c>
      <c r="B4" s="6">
        <f>IF(Tabela1[[#This Row],[Título da atividade]]="","",produto!$F$2)</f>
        <v>6368994</v>
      </c>
      <c r="C4" s="24" t="str">
        <f>IF(Tabela1[[#This Row],[Título da atividade]]="","",produto!$G$2)</f>
        <v>Não iniciado</v>
      </c>
      <c r="D4" s="24" t="str">
        <f>IF(Tabela1[[#This Row],[Tipo da atividade]]="","",Tabela1[[#This Row],[Tipo da atividade]])</f>
        <v>Desenvolvimento</v>
      </c>
      <c r="E4" s="26" t="str">
        <f>IF(Tabela1[[#This Row],[Título da atividade]]=""," ",_xlfn.CONCAT(produto!$D$2,"",Tabela1[[#This Row],[Título da atividade]]))</f>
        <v>[Widgets] Dev 1.1 - [Criação da nova lib] Adicionar lib react-grid-layout e criar componente principal do painel</v>
      </c>
      <c r="F4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Instalar biblioteca react-grid-layout.
* Criar interfaces TypeScript essenciais.
* Criar componente wrapper &lt;GridContainer /&gt; aceitando propriedades x, y, w, h.
* Configurar breakpoints e colunas responsivas do grid.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4" s="6">
        <f>IF(Tabela1[[#This Row],[Título da atividade]]="","",IF(Tabela1[[#This Row],[Esforço estimado]]&gt;0,Tabela1[[#This Row],[Esforço estimado]],""))</f>
        <v>8</v>
      </c>
      <c r="H4" s="28" t="str">
        <f>IF(Tabela1[[#This Row],[Título da atividade]]="","",IF(Tabela1[[#This Row],[Início estimado]]&gt;0,Tabela1[[#This Row],[Início estimado]],""))</f>
        <v/>
      </c>
      <c r="I4" s="28" t="str">
        <f>IF(Tabela1[[#This Row],[Título da atividade]]="","",IF(Tabela1[[#This Row],[Término estimado]]&gt;0,Tabela1[[#This Row],[Término estimado]],""))</f>
        <v/>
      </c>
      <c r="J4" s="24" t="str">
        <f>IF(Tabela1[[#This Row],[Título da atividade]]="","",produto!$H$2)</f>
        <v>Twygo</v>
      </c>
      <c r="K4" s="24" t="str">
        <f>IF(Tabela1[[#This Row],[Título da atividade]]="","",produto!$I$2)</f>
        <v>Twygo</v>
      </c>
      <c r="L4" s="6" t="str">
        <f>IF(Tabela1[[#This Row],[Título da atividade]]="","",IF(Tabela1[[#This Row],[Responsável]]&gt;0,Tabela1[[#This Row],[Responsável]],""))</f>
        <v/>
      </c>
    </row>
    <row r="5" spans="1:12" ht="105">
      <c r="A5" s="6">
        <f>IF(Tabela1[[#This Row],[Título da atividade]]="","",produto!$E$2)</f>
        <v>4874953</v>
      </c>
      <c r="B5" s="6">
        <f>IF(Tabela1[[#This Row],[Título da atividade]]="","",produto!$F$2)</f>
        <v>6368994</v>
      </c>
      <c r="C5" s="24" t="str">
        <f>IF(Tabela1[[#This Row],[Título da atividade]]="","",produto!$G$2)</f>
        <v>Não iniciado</v>
      </c>
      <c r="D5" s="24" t="str">
        <f>IF(Tabela1[[#This Row],[Tipo da atividade]]="","",Tabela1[[#This Row],[Tipo da atividade]])</f>
        <v>Desenvolvimento</v>
      </c>
      <c r="E5" s="26" t="str">
        <f>IF(Tabela1[[#This Row],[Título da atividade]]=""," ",_xlfn.CONCAT(produto!$D$2,"",Tabela1[[#This Row],[Título da atividade]]))</f>
        <v>[Widgets] Dev 1.2 - [Criação da nova lib] Criar estrutura do front em componentes</v>
      </c>
      <c r="F5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Criar organização de pastas para os widgets.
* Desenvolver container padrão (wrapper) com título, ícone e ações.
* Implementar Factory que renderiza o widget correto baseado no WIDGET_TYPE.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5" s="6">
        <f>IF(Tabela1[[#This Row],[Título da atividade]]="","",IF(Tabela1[[#This Row],[Esforço estimado]]&gt;0,Tabela1[[#This Row],[Esforço estimado]],""))</f>
        <v>8</v>
      </c>
      <c r="H5" s="28" t="str">
        <f>IF(Tabela1[[#This Row],[Título da atividade]]="","",IF(Tabela1[[#This Row],[Início estimado]]&gt;0,Tabela1[[#This Row],[Início estimado]],""))</f>
        <v/>
      </c>
      <c r="I5" s="28" t="str">
        <f>IF(Tabela1[[#This Row],[Título da atividade]]="","",IF(Tabela1[[#This Row],[Término estimado]]&gt;0,Tabela1[[#This Row],[Término estimado]],""))</f>
        <v/>
      </c>
      <c r="J5" s="24" t="str">
        <f>IF(Tabela1[[#This Row],[Título da atividade]]="","",produto!$H$2)</f>
        <v>Twygo</v>
      </c>
      <c r="K5" s="24" t="str">
        <f>IF(Tabela1[[#This Row],[Título da atividade]]="","",produto!$I$2)</f>
        <v>Twygo</v>
      </c>
      <c r="L5" s="6" t="str">
        <f>IF(Tabela1[[#This Row],[Título da atividade]]="","",IF(Tabela1[[#This Row],[Responsável]]&gt;0,Tabela1[[#This Row],[Responsável]],""))</f>
        <v/>
      </c>
    </row>
    <row r="6" spans="1:12" ht="105">
      <c r="A6" s="6">
        <f>IF(Tabela1[[#This Row],[Título da atividade]]="","",produto!$E$2)</f>
        <v>4874953</v>
      </c>
      <c r="B6" s="6">
        <f>IF(Tabela1[[#This Row],[Título da atividade]]="","",produto!$F$2)</f>
        <v>6368994</v>
      </c>
      <c r="C6" s="24" t="str">
        <f>IF(Tabela1[[#This Row],[Título da atividade]]="","",produto!$G$2)</f>
        <v>Não iniciado</v>
      </c>
      <c r="D6" s="24" t="str">
        <f>IF(Tabela1[[#This Row],[Tipo da atividade]]="","",Tabela1[[#This Row],[Tipo da atividade]])</f>
        <v>Desenvolvimento</v>
      </c>
      <c r="E6" s="26" t="str">
        <f>IF(Tabela1[[#This Row],[Título da atividade]]=""," ",_xlfn.CONCAT(produto!$D$2,"",Tabela1[[#This Row],[Título da atividade]]))</f>
        <v>[Widgets] Dev 1.3 - [Criação da nova lib] Models e migrations</v>
      </c>
      <c r="F6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Migrations:
board_tabs: Criar tabela vinculada a events.
board_widgets: Criar tabela vinculada a tabs, contendo layout_config (JSON).
Feature Flag: Criar flags distintas: Gestão de Painéis
Histórico: Garantir que todas as tabelas tenham organization_id para facilitar a exclusão do banco histórico.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6" s="6">
        <f>IF(Tabela1[[#This Row],[Título da atividade]]="","",IF(Tabela1[[#This Row],[Esforço estimado]]&gt;0,Tabela1[[#This Row],[Esforço estimado]],""))</f>
        <v>2</v>
      </c>
      <c r="H6" s="28" t="str">
        <f>IF(Tabela1[[#This Row],[Título da atividade]]="","",IF(Tabela1[[#This Row],[Início estimado]]&gt;0,Tabela1[[#This Row],[Início estimado]],""))</f>
        <v/>
      </c>
      <c r="I6" s="28" t="str">
        <f>IF(Tabela1[[#This Row],[Título da atividade]]="","",IF(Tabela1[[#This Row],[Término estimado]]&gt;0,Tabela1[[#This Row],[Término estimado]],""))</f>
        <v/>
      </c>
      <c r="J6" s="24" t="str">
        <f>IF(Tabela1[[#This Row],[Título da atividade]]="","",produto!$H$2)</f>
        <v>Twygo</v>
      </c>
      <c r="K6" s="24" t="str">
        <f>IF(Tabela1[[#This Row],[Título da atividade]]="","",produto!$I$2)</f>
        <v>Twygo</v>
      </c>
      <c r="L6" s="6" t="str">
        <f>IF(Tabela1[[#This Row],[Título da atividade]]="","",IF(Tabela1[[#This Row],[Responsável]]&gt;0,Tabela1[[#This Row],[Responsável]],""))</f>
        <v/>
      </c>
    </row>
    <row r="7" spans="1:12" ht="105">
      <c r="A7" s="6">
        <f>IF(Tabela1[[#This Row],[Título da atividade]]="","",produto!$E$2)</f>
        <v>4874953</v>
      </c>
      <c r="B7" s="6">
        <f>IF(Tabela1[[#This Row],[Título da atividade]]="","",produto!$F$2)</f>
        <v>6368994</v>
      </c>
      <c r="C7" s="24" t="str">
        <f>IF(Tabela1[[#This Row],[Título da atividade]]="","",produto!$G$2)</f>
        <v>Não iniciado</v>
      </c>
      <c r="D7" s="24" t="str">
        <f>IF(Tabela1[[#This Row],[Tipo da atividade]]="","",Tabela1[[#This Row],[Tipo da atividade]])</f>
        <v>Teste de mesa</v>
      </c>
      <c r="E7" s="26" t="str">
        <f>IF(Tabela1[[#This Row],[Título da atividade]]=""," ",_xlfn.CONCAT(produto!$D$2,"",Tabela1[[#This Row],[Título da atividade]]))</f>
        <v>[Widgets] Teste de mesa bloco 1</v>
      </c>
      <c r="F7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Teste de mesa - Atividades / Blocos:
Bloco 1</v>
      </c>
      <c r="G7" s="6">
        <f>IF(Tabela1[[#This Row],[Título da atividade]]="","",IF(Tabela1[[#This Row],[Esforço estimado]]&gt;0,Tabela1[[#This Row],[Esforço estimado]],""))</f>
        <v>2</v>
      </c>
      <c r="H7" s="28" t="str">
        <f>IF(Tabela1[[#This Row],[Título da atividade]]="","",IF(Tabela1[[#This Row],[Início estimado]]&gt;0,Tabela1[[#This Row],[Início estimado]],""))</f>
        <v/>
      </c>
      <c r="I7" s="28" t="str">
        <f>IF(Tabela1[[#This Row],[Título da atividade]]="","",IF(Tabela1[[#This Row],[Término estimado]]&gt;0,Tabela1[[#This Row],[Término estimado]],""))</f>
        <v/>
      </c>
      <c r="J7" s="24" t="str">
        <f>IF(Tabela1[[#This Row],[Título da atividade]]="","",produto!$H$2)</f>
        <v>Twygo</v>
      </c>
      <c r="K7" s="24" t="str">
        <f>IF(Tabela1[[#This Row],[Título da atividade]]="","",produto!$I$2)</f>
        <v>Twygo</v>
      </c>
      <c r="L7" s="6" t="str">
        <f>IF(Tabela1[[#This Row],[Título da atividade]]="","",IF(Tabela1[[#This Row],[Responsável]]&gt;0,Tabela1[[#This Row],[Responsável]],""))</f>
        <v/>
      </c>
    </row>
    <row r="8" spans="1:12" ht="120">
      <c r="A8" s="6">
        <f>IF(Tabela1[[#This Row],[Título da atividade]]="","",produto!$E$2)</f>
        <v>4874953</v>
      </c>
      <c r="B8" s="6">
        <f>IF(Tabela1[[#This Row],[Título da atividade]]="","",produto!$F$2)</f>
        <v>6368994</v>
      </c>
      <c r="C8" s="24" t="str">
        <f>IF(Tabela1[[#This Row],[Título da atividade]]="","",produto!$G$2)</f>
        <v>Não iniciado</v>
      </c>
      <c r="D8" s="24" t="str">
        <f>IF(Tabela1[[#This Row],[Tipo da atividade]]="","",Tabela1[[#This Row],[Tipo da atividade]])</f>
        <v>Desenvolvimento</v>
      </c>
      <c r="E8" s="26" t="str">
        <f>IF(Tabela1[[#This Row],[Título da atividade]]=""," ",_xlfn.CONCAT(produto!$D$2,"",Tabela1[[#This Row],[Título da atividade]]))</f>
        <v>[Widgets] Dev 2.1 - [Criação/listagem de painéis] Tela de criar/editar painel - Aba identificação</v>
      </c>
      <c r="F8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#R5
* Criar rota new e edit.
* Formulário React mapeando para os campos da tabela events (Nome, Descrição).
* Coluna descrição deve ser um platejs. Para mostrar na tabela utilizar o helper: ""convertDescriptionToPlainText""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8" s="6">
        <f>IF(Tabela1[[#This Row],[Título da atividade]]="","",IF(Tabela1[[#This Row],[Esforço estimado]]&gt;0,Tabela1[[#This Row],[Esforço estimado]],""))</f>
        <v>6</v>
      </c>
      <c r="H8" s="28" t="str">
        <f>IF(Tabela1[[#This Row],[Título da atividade]]="","",IF(Tabela1[[#This Row],[Início estimado]]&gt;0,Tabela1[[#This Row],[Início estimado]],""))</f>
        <v/>
      </c>
      <c r="I8" s="28" t="str">
        <f>IF(Tabela1[[#This Row],[Título da atividade]]="","",IF(Tabela1[[#This Row],[Término estimado]]&gt;0,Tabela1[[#This Row],[Término estimado]],""))</f>
        <v/>
      </c>
      <c r="J8" s="24" t="str">
        <f>IF(Tabela1[[#This Row],[Título da atividade]]="","",produto!$H$2)</f>
        <v>Twygo</v>
      </c>
      <c r="K8" s="24" t="str">
        <f>IF(Tabela1[[#This Row],[Título da atividade]]="","",produto!$I$2)</f>
        <v>Twygo</v>
      </c>
      <c r="L8" s="6" t="str">
        <f>IF(Tabela1[[#This Row],[Título da atividade]]="","",IF(Tabela1[[#This Row],[Responsável]]&gt;0,Tabela1[[#This Row],[Responsável]],""))</f>
        <v/>
      </c>
    </row>
    <row r="9" spans="1:12" ht="105">
      <c r="A9" s="6">
        <f>IF(Tabela1[[#This Row],[Título da atividade]]="","",produto!$E$2)</f>
        <v>4874953</v>
      </c>
      <c r="B9" s="6">
        <f>IF(Tabela1[[#This Row],[Título da atividade]]="","",produto!$F$2)</f>
        <v>6368994</v>
      </c>
      <c r="C9" s="24" t="str">
        <f>IF(Tabela1[[#This Row],[Título da atividade]]="","",produto!$G$2)</f>
        <v>Não iniciado</v>
      </c>
      <c r="D9" s="24" t="str">
        <f>IF(Tabela1[[#This Row],[Tipo da atividade]]="","",Tabela1[[#This Row],[Tipo da atividade]])</f>
        <v>Desenvolvimento</v>
      </c>
      <c r="E9" s="26" t="str">
        <f>IF(Tabela1[[#This Row],[Título da atividade]]=""," ",_xlfn.CONCAT(produto!$D$2,"",Tabela1[[#This Row],[Título da atividade]]))</f>
        <v>[Widgets] Dev 2.2 - [Criação/listagem de painéis] Criar a lista dos painéis (usuário + compartilhados)</v>
      </c>
      <c r="F9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#R1, R2
* Renomear menu
* Ajustar breadcrumb
* Adicionar tab na tela de navegação, controlada pela Feature Flag de gestão.
* Implementar tabela no frontend consumindo PanelsController#index.
* Adicionar rota no routes.rb e PanelsController com action index.
* Criar consultas utilizando padrão de use_case e criterias
* Testes unitários
* Sem coluna de ativar/desativar ainda na coluna "Ativo?"
* Sem a pré-visualização de painéis ainda na visão de cards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9" s="6">
        <f>IF(Tabela1[[#This Row],[Título da atividade]]="","",IF(Tabela1[[#This Row],[Esforço estimado]]&gt;0,Tabela1[[#This Row],[Esforço estimado]],""))</f>
        <v>8</v>
      </c>
      <c r="H9" s="28" t="str">
        <f>IF(Tabela1[[#This Row],[Título da atividade]]="","",IF(Tabela1[[#This Row],[Início estimado]]&gt;0,Tabela1[[#This Row],[Início estimado]],""))</f>
        <v/>
      </c>
      <c r="I9" s="28" t="str">
        <f>IF(Tabela1[[#This Row],[Título da atividade]]="","",IF(Tabela1[[#This Row],[Término estimado]]&gt;0,Tabela1[[#This Row],[Término estimado]],""))</f>
        <v/>
      </c>
      <c r="J9" s="24" t="str">
        <f>IF(Tabela1[[#This Row],[Título da atividade]]="","",produto!$H$2)</f>
        <v>Twygo</v>
      </c>
      <c r="K9" s="24" t="str">
        <f>IF(Tabela1[[#This Row],[Título da atividade]]="","",produto!$I$2)</f>
        <v>Twygo</v>
      </c>
      <c r="L9" s="6" t="str">
        <f>IF(Tabela1[[#This Row],[Título da atividade]]="","",IF(Tabela1[[#This Row],[Responsável]]&gt;0,Tabela1[[#This Row],[Responsável]],""))</f>
        <v/>
      </c>
    </row>
    <row r="10" spans="1:12" ht="195">
      <c r="A10" s="6">
        <f>IF(Tabela1[[#This Row],[Título da atividade]]="","",produto!$E$2)</f>
        <v>4874953</v>
      </c>
      <c r="B10" s="6">
        <f>IF(Tabela1[[#This Row],[Título da atividade]]="","",produto!$F$2)</f>
        <v>6368994</v>
      </c>
      <c r="C10" s="24" t="str">
        <f>IF(Tabela1[[#This Row],[Título da atividade]]="","",produto!$G$2)</f>
        <v>Não iniciado</v>
      </c>
      <c r="D10" s="24" t="str">
        <f>IF(Tabela1[[#This Row],[Tipo da atividade]]="","",Tabela1[[#This Row],[Tipo da atividade]])</f>
        <v>Desenvolvimento</v>
      </c>
      <c r="E10" s="26" t="str">
        <f>IF(Tabela1[[#This Row],[Título da atividade]]=""," ",_xlfn.CONCAT(produto!$D$2,"",Tabela1[[#This Row],[Título da atividade]]))</f>
        <v>[Widgets] Dev 2.3 - [Criação/listagem de painéis] Adicionar coluna na listagem com a função de ativar/desativar</v>
      </c>
      <c r="F10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RN 12
* Implementar toggle rápido na listagem (item 2.2) que atualiza o campo “Ativo” sem necessidade de entrar na tela de edição.
* Implementar o modal de alerta, caso o painel esteja em uso por algum menu.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0" s="6">
        <f>IF(Tabela1[[#This Row],[Título da atividade]]="","",IF(Tabela1[[#This Row],[Esforço estimado]]&gt;0,Tabela1[[#This Row],[Esforço estimado]],""))</f>
        <v>6</v>
      </c>
      <c r="H10" s="28" t="str">
        <f>IF(Tabela1[[#This Row],[Título da atividade]]="","",IF(Tabela1[[#This Row],[Início estimado]]&gt;0,Tabela1[[#This Row],[Início estimado]],""))</f>
        <v/>
      </c>
      <c r="I10" s="28" t="str">
        <f>IF(Tabela1[[#This Row],[Título da atividade]]="","",IF(Tabela1[[#This Row],[Término estimado]]&gt;0,Tabela1[[#This Row],[Término estimado]],""))</f>
        <v/>
      </c>
      <c r="J10" s="24" t="str">
        <f>IF(Tabela1[[#This Row],[Título da atividade]]="","",produto!$H$2)</f>
        <v>Twygo</v>
      </c>
      <c r="K10" s="24" t="str">
        <f>IF(Tabela1[[#This Row],[Título da atividade]]="","",produto!$I$2)</f>
        <v>Twygo</v>
      </c>
      <c r="L10" s="6" t="str">
        <f>IF(Tabela1[[#This Row],[Título da atividade]]="","",IF(Tabela1[[#This Row],[Responsável]]&gt;0,Tabela1[[#This Row],[Responsável]],""))</f>
        <v/>
      </c>
    </row>
    <row r="11" spans="1:12" ht="105">
      <c r="A11" s="6">
        <f>IF(Tabela1[[#This Row],[Título da atividade]]="","",produto!$E$2)</f>
        <v>4874953</v>
      </c>
      <c r="B11" s="6">
        <f>IF(Tabela1[[#This Row],[Título da atividade]]="","",produto!$F$2)</f>
        <v>6368994</v>
      </c>
      <c r="C11" s="24" t="str">
        <f>IF(Tabela1[[#This Row],[Título da atividade]]="","",produto!$G$2)</f>
        <v>Não iniciado</v>
      </c>
      <c r="D11" s="24" t="str">
        <f>IF(Tabela1[[#This Row],[Tipo da atividade]]="","",Tabela1[[#This Row],[Tipo da atividade]])</f>
        <v>Desenvolvimento</v>
      </c>
      <c r="E11" s="26" t="str">
        <f>IF(Tabela1[[#This Row],[Título da atividade]]=""," ",_xlfn.CONCAT(produto!$D$2,"",Tabela1[[#This Row],[Título da atividade]]))</f>
        <v>[Widgets] Dev 2.4 - [Criação/listagem de painéis] Filtros e Pesquisa</v>
      </c>
      <c r="F11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#R3
* Adicionar barra de busca por nome do painel.
* Configurar filterControlProvider
* Implementar filtros das colunas
* Implementar filtros padrões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1" s="6">
        <f>IF(Tabela1[[#This Row],[Título da atividade]]="","",IF(Tabela1[[#This Row],[Esforço estimado]]&gt;0,Tabela1[[#This Row],[Esforço estimado]],""))</f>
        <v>6</v>
      </c>
      <c r="H11" s="28" t="str">
        <f>IF(Tabela1[[#This Row],[Título da atividade]]="","",IF(Tabela1[[#This Row],[Início estimado]]&gt;0,Tabela1[[#This Row],[Início estimado]],""))</f>
        <v/>
      </c>
      <c r="I11" s="28" t="str">
        <f>IF(Tabela1[[#This Row],[Título da atividade]]="","",IF(Tabela1[[#This Row],[Término estimado]]&gt;0,Tabela1[[#This Row],[Término estimado]],""))</f>
        <v/>
      </c>
      <c r="J11" s="24" t="str">
        <f>IF(Tabela1[[#This Row],[Título da atividade]]="","",produto!$H$2)</f>
        <v>Twygo</v>
      </c>
      <c r="K11" s="24" t="str">
        <f>IF(Tabela1[[#This Row],[Título da atividade]]="","",produto!$I$2)</f>
        <v>Twygo</v>
      </c>
      <c r="L11" s="6" t="str">
        <f>IF(Tabela1[[#This Row],[Título da atividade]]="","",IF(Tabela1[[#This Row],[Responsável]]&gt;0,Tabela1[[#This Row],[Responsável]],""))</f>
        <v/>
      </c>
    </row>
    <row r="12" spans="1:12" ht="165">
      <c r="A12" s="6">
        <f>IF(Tabela1[[#This Row],[Título da atividade]]="","",produto!$E$2)</f>
        <v>4874953</v>
      </c>
      <c r="B12" s="6">
        <f>IF(Tabela1[[#This Row],[Título da atividade]]="","",produto!$F$2)</f>
        <v>6368994</v>
      </c>
      <c r="C12" s="24" t="str">
        <f>IF(Tabela1[[#This Row],[Título da atividade]]="","",produto!$G$2)</f>
        <v>Não iniciado</v>
      </c>
      <c r="D12" s="24" t="str">
        <f>IF(Tabela1[[#This Row],[Tipo da atividade]]="","",Tabela1[[#This Row],[Tipo da atividade]])</f>
        <v>Desenvolvimento</v>
      </c>
      <c r="E12" s="26" t="str">
        <f>IF(Tabela1[[#This Row],[Título da atividade]]=""," ",_xlfn.CONCAT(produto!$D$2,"",Tabela1[[#This Row],[Título da atividade]]))</f>
        <v>[Widgets] Dev 2.5 - [Criação/listagem de painéis] Esconder painéis de listagens de events</v>
      </c>
      <c r="F1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Aplicar escopos (default_scope ou filtros explícitos) para garantir que
events kind='Panel' não apareçam em relatórios ou listagens de cursos/trilhas.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2" s="6">
        <f>IF(Tabela1[[#This Row],[Título da atividade]]="","",IF(Tabela1[[#This Row],[Esforço estimado]]&gt;0,Tabela1[[#This Row],[Esforço estimado]],""))</f>
        <v>3</v>
      </c>
      <c r="H12" s="28" t="str">
        <f>IF(Tabela1[[#This Row],[Título da atividade]]="","",IF(Tabela1[[#This Row],[Início estimado]]&gt;0,Tabela1[[#This Row],[Início estimado]],""))</f>
        <v/>
      </c>
      <c r="I12" s="28" t="str">
        <f>IF(Tabela1[[#This Row],[Título da atividade]]="","",IF(Tabela1[[#This Row],[Término estimado]]&gt;0,Tabela1[[#This Row],[Término estimado]],""))</f>
        <v/>
      </c>
      <c r="J12" s="24" t="str">
        <f>IF(Tabela1[[#This Row],[Título da atividade]]="","",produto!$H$2)</f>
        <v>Twygo</v>
      </c>
      <c r="K12" s="24" t="str">
        <f>IF(Tabela1[[#This Row],[Título da atividade]]="","",produto!$I$2)</f>
        <v>Twygo</v>
      </c>
      <c r="L12" s="6" t="str">
        <f>IF(Tabela1[[#This Row],[Título da atividade]]="","",IF(Tabela1[[#This Row],[Responsável]]&gt;0,Tabela1[[#This Row],[Responsável]],""))</f>
        <v/>
      </c>
    </row>
    <row r="13" spans="1:12" ht="45">
      <c r="A13" s="6">
        <f>IF(Tabela1[[#This Row],[Título da atividade]]="","",produto!$E$2)</f>
        <v>4874953</v>
      </c>
      <c r="B13" s="6">
        <f>IF(Tabela1[[#This Row],[Título da atividade]]="","",produto!$F$2)</f>
        <v>6368994</v>
      </c>
      <c r="C13" s="24" t="str">
        <f>IF(Tabela1[[#This Row],[Título da atividade]]="","",produto!$G$2)</f>
        <v>Não iniciado</v>
      </c>
      <c r="D13" s="24" t="str">
        <f>IF(Tabela1[[#This Row],[Tipo da atividade]]="","",Tabela1[[#This Row],[Tipo da atividade]])</f>
        <v>Teste de mesa</v>
      </c>
      <c r="E13" s="26" t="str">
        <f>IF(Tabela1[[#This Row],[Título da atividade]]=""," ",_xlfn.CONCAT(produto!$D$2,"",Tabela1[[#This Row],[Título da atividade]]))</f>
        <v>[Widgets] Teste de mesa bloco 2</v>
      </c>
      <c r="F1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Teste de mesa - Atividades / Blocos:
Bloco 2</v>
      </c>
      <c r="G13" s="6">
        <f>IF(Tabela1[[#This Row],[Título da atividade]]="","",IF(Tabela1[[#This Row],[Esforço estimado]]&gt;0,Tabela1[[#This Row],[Esforço estimado]],""))</f>
        <v>2</v>
      </c>
      <c r="H13" s="28" t="str">
        <f>IF(Tabela1[[#This Row],[Título da atividade]]="","",IF(Tabela1[[#This Row],[Início estimado]]&gt;0,Tabela1[[#This Row],[Início estimado]],""))</f>
        <v/>
      </c>
      <c r="I13" s="28" t="str">
        <f>IF(Tabela1[[#This Row],[Título da atividade]]="","",IF(Tabela1[[#This Row],[Término estimado]]&gt;0,Tabela1[[#This Row],[Término estimado]],""))</f>
        <v/>
      </c>
      <c r="J13" s="24" t="str">
        <f>IF(Tabela1[[#This Row],[Título da atividade]]="","",produto!$H$2)</f>
        <v>Twygo</v>
      </c>
      <c r="K13" s="24" t="str">
        <f>IF(Tabela1[[#This Row],[Título da atividade]]="","",produto!$I$2)</f>
        <v>Twygo</v>
      </c>
      <c r="L13" s="6" t="str">
        <f>IF(Tabela1[[#This Row],[Título da atividade]]="","",IF(Tabela1[[#This Row],[Responsável]]&gt;0,Tabela1[[#This Row],[Responsável]],""))</f>
        <v/>
      </c>
    </row>
    <row r="14" spans="1:12" ht="45">
      <c r="A14" s="6">
        <f>IF(Tabela1[[#This Row],[Título da atividade]]="","",produto!$E$2)</f>
        <v>4874953</v>
      </c>
      <c r="B14" s="6">
        <f>IF(Tabela1[[#This Row],[Título da atividade]]="","",produto!$F$2)</f>
        <v>6368994</v>
      </c>
      <c r="C14" s="24" t="str">
        <f>IF(Tabela1[[#This Row],[Título da atividade]]="","",produto!$G$2)</f>
        <v>Não iniciado</v>
      </c>
      <c r="D14" s="24" t="str">
        <f>IF(Tabela1[[#This Row],[Tipo da atividade]]="","",Tabela1[[#This Row],[Tipo da atividade]])</f>
        <v>Execução de testes</v>
      </c>
      <c r="E14" s="26" t="str">
        <f>IF(Tabela1[[#This Row],[Título da atividade]]=""," ",_xlfn.CONCAT(produto!$D$2,"",Tabela1[[#This Row],[Título da atividade]]))</f>
        <v>[Widgets] QA 2.1 - Listagem</v>
      </c>
      <c r="F14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
#R1
RN1, 2, 3, 4
#R2
RN6, 7, 9, 10, 11, 13
Verificar sobre ordenação nas colunas
Também validar: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
- Paginação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4" s="6">
        <f>IF(Tabela1[[#This Row],[Título da atividade]]="","",IF(Tabela1[[#This Row],[Esforço estimado]]&gt;0,Tabela1[[#This Row],[Esforço estimado]],""))</f>
        <v>2</v>
      </c>
      <c r="H14" s="28" t="str">
        <f>IF(Tabela1[[#This Row],[Título da atividade]]="","",IF(Tabela1[[#This Row],[Início estimado]]&gt;0,Tabela1[[#This Row],[Início estimado]],""))</f>
        <v/>
      </c>
      <c r="I14" s="28" t="str">
        <f>IF(Tabela1[[#This Row],[Título da atividade]]="","",IF(Tabela1[[#This Row],[Término estimado]]&gt;0,Tabela1[[#This Row],[Término estimado]],""))</f>
        <v/>
      </c>
      <c r="J14" s="24" t="str">
        <f>IF(Tabela1[[#This Row],[Título da atividade]]="","",produto!$H$2)</f>
        <v>Twygo</v>
      </c>
      <c r="K14" s="24" t="str">
        <f>IF(Tabela1[[#This Row],[Título da atividade]]="","",produto!$I$2)</f>
        <v>Twygo</v>
      </c>
      <c r="L14" s="6" t="str">
        <f>IF(Tabela1[[#This Row],[Título da atividade]]="","",IF(Tabela1[[#This Row],[Responsável]]&gt;0,Tabela1[[#This Row],[Responsável]],""))</f>
        <v/>
      </c>
    </row>
    <row r="15" spans="1:12" ht="105">
      <c r="A15" s="6">
        <f>IF(Tabela1[[#This Row],[Título da atividade]]="","",produto!$E$2)</f>
        <v>4874953</v>
      </c>
      <c r="B15" s="6">
        <f>IF(Tabela1[[#This Row],[Título da atividade]]="","",produto!$F$2)</f>
        <v>6368994</v>
      </c>
      <c r="C15" s="24" t="str">
        <f>IF(Tabela1[[#This Row],[Título da atividade]]="","",produto!$G$2)</f>
        <v>Não iniciado</v>
      </c>
      <c r="D15" s="24" t="str">
        <f>IF(Tabela1[[#This Row],[Tipo da atividade]]="","",Tabela1[[#This Row],[Tipo da atividade]])</f>
        <v>Execução de testes</v>
      </c>
      <c r="E15" s="26" t="str">
        <f>IF(Tabela1[[#This Row],[Título da atividade]]=""," ",_xlfn.CONCAT(produto!$D$2,"",Tabela1[[#This Row],[Título da atividade]]))</f>
        <v>[Widgets] QA 2.2 - Ativar / Inativar</v>
      </c>
      <c r="F15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
#R2
RN12, 12.1
#R15
RN93 (modo de uso)
Também validar:
- Layout / cores / padrões
- Traduções (conforme configuração do cadastro do usuário administrador - português / inglês / espanhol)
- Responsividade desktop (1366x768 / 1920x1080 / 1536x864) / Zoom até 125% escala 100% / Zoom até 125% escala 125%
- Usabilidade (navegação por TAB, escolhas por setas, confirmação com ENTER e sair/fechar com ESC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5" s="6">
        <f>IF(Tabela1[[#This Row],[Título da atividade]]="","",IF(Tabela1[[#This Row],[Esforço estimado]]&gt;0,Tabela1[[#This Row],[Esforço estimado]],""))</f>
        <v>1</v>
      </c>
      <c r="H15" s="28" t="str">
        <f>IF(Tabela1[[#This Row],[Título da atividade]]="","",IF(Tabela1[[#This Row],[Início estimado]]&gt;0,Tabela1[[#This Row],[Início estimado]],""))</f>
        <v/>
      </c>
      <c r="I15" s="28" t="str">
        <f>IF(Tabela1[[#This Row],[Título da atividade]]="","",IF(Tabela1[[#This Row],[Término estimado]]&gt;0,Tabela1[[#This Row],[Término estimado]],""))</f>
        <v/>
      </c>
      <c r="J15" s="24" t="str">
        <f>IF(Tabela1[[#This Row],[Título da atividade]]="","",produto!$H$2)</f>
        <v>Twygo</v>
      </c>
      <c r="K15" s="24" t="str">
        <f>IF(Tabela1[[#This Row],[Título da atividade]]="","",produto!$I$2)</f>
        <v>Twygo</v>
      </c>
      <c r="L15" s="6" t="str">
        <f>IF(Tabela1[[#This Row],[Título da atividade]]="","",IF(Tabela1[[#This Row],[Responsável]]&gt;0,Tabela1[[#This Row],[Responsável]],""))</f>
        <v/>
      </c>
    </row>
    <row r="16" spans="1:12" ht="105">
      <c r="A16" s="6">
        <f>IF(Tabela1[[#This Row],[Título da atividade]]="","",produto!$E$2)</f>
        <v>4874953</v>
      </c>
      <c r="B16" s="6">
        <f>IF(Tabela1[[#This Row],[Título da atividade]]="","",produto!$F$2)</f>
        <v>6368994</v>
      </c>
      <c r="C16" s="24" t="str">
        <f>IF(Tabela1[[#This Row],[Título da atividade]]="","",produto!$G$2)</f>
        <v>Não iniciado</v>
      </c>
      <c r="D16" s="24" t="str">
        <f>IF(Tabela1[[#This Row],[Tipo da atividade]]="","",Tabela1[[#This Row],[Tipo da atividade]])</f>
        <v>Execução de testes</v>
      </c>
      <c r="E16" s="26" t="str">
        <f>IF(Tabela1[[#This Row],[Título da atividade]]=""," ",_xlfn.CONCAT(produto!$D$2,"",Tabela1[[#This Row],[Título da atividade]]))</f>
        <v>[Widgets] QA 2.3 - Compartilhamento</v>
      </c>
      <c r="F16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
#R2
RN14, 15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6" s="6">
        <f>IF(Tabela1[[#This Row],[Título da atividade]]="","",IF(Tabela1[[#This Row],[Esforço estimado]]&gt;0,Tabela1[[#This Row],[Esforço estimado]],""))</f>
        <v>2</v>
      </c>
      <c r="H16" s="28" t="str">
        <f>IF(Tabela1[[#This Row],[Título da atividade]]="","",IF(Tabela1[[#This Row],[Início estimado]]&gt;0,Tabela1[[#This Row],[Início estimado]],""))</f>
        <v/>
      </c>
      <c r="I16" s="28" t="str">
        <f>IF(Tabela1[[#This Row],[Título da atividade]]="","",IF(Tabela1[[#This Row],[Término estimado]]&gt;0,Tabela1[[#This Row],[Término estimado]],""))</f>
        <v/>
      </c>
      <c r="J16" s="24" t="str">
        <f>IF(Tabela1[[#This Row],[Título da atividade]]="","",produto!$H$2)</f>
        <v>Twygo</v>
      </c>
      <c r="K16" s="24" t="str">
        <f>IF(Tabela1[[#This Row],[Título da atividade]]="","",produto!$I$2)</f>
        <v>Twygo</v>
      </c>
      <c r="L16" s="6" t="str">
        <f>IF(Tabela1[[#This Row],[Título da atividade]]="","",IF(Tabela1[[#This Row],[Responsável]]&gt;0,Tabela1[[#This Row],[Responsável]],""))</f>
        <v/>
      </c>
    </row>
    <row r="17" spans="1:12" ht="105">
      <c r="A17" s="6">
        <f>IF(Tabela1[[#This Row],[Título da atividade]]="","",produto!$E$2)</f>
        <v>4874953</v>
      </c>
      <c r="B17" s="6">
        <f>IF(Tabela1[[#This Row],[Título da atividade]]="","",produto!$F$2)</f>
        <v>6368994</v>
      </c>
      <c r="C17" s="24" t="str">
        <f>IF(Tabela1[[#This Row],[Título da atividade]]="","",produto!$G$2)</f>
        <v>Não iniciado</v>
      </c>
      <c r="D17" s="24" t="str">
        <f>IF(Tabela1[[#This Row],[Tipo da atividade]]="","",Tabela1[[#This Row],[Tipo da atividade]])</f>
        <v>Execução de testes</v>
      </c>
      <c r="E17" s="26" t="str">
        <f>IF(Tabela1[[#This Row],[Título da atividade]]=""," ",_xlfn.CONCAT(produto!$D$2,"",Tabela1[[#This Row],[Título da atividade]]))</f>
        <v>[Widgets] QA 2.4 - Pesquisa e Filtros</v>
      </c>
      <c r="F17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Descrição RN: 
#R2
8
#R3
RN16, 17, 18
Também validar:
- Traduções (conforme configuração do cadastro do usuário administrador - português / inglês / espanhol)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7" s="6">
        <f>IF(Tabela1[[#This Row],[Título da atividade]]="","",IF(Tabela1[[#This Row],[Esforço estimado]]&gt;0,Tabela1[[#This Row],[Esforço estimado]],""))</f>
        <v>2</v>
      </c>
      <c r="H17" s="28" t="str">
        <f>IF(Tabela1[[#This Row],[Título da atividade]]="","",IF(Tabela1[[#This Row],[Início estimado]]&gt;0,Tabela1[[#This Row],[Início estimado]],""))</f>
        <v/>
      </c>
      <c r="I17" s="28" t="str">
        <f>IF(Tabela1[[#This Row],[Título da atividade]]="","",IF(Tabela1[[#This Row],[Término estimado]]&gt;0,Tabela1[[#This Row],[Término estimado]],""))</f>
        <v/>
      </c>
      <c r="J17" s="24" t="str">
        <f>IF(Tabela1[[#This Row],[Título da atividade]]="","",produto!$H$2)</f>
        <v>Twygo</v>
      </c>
      <c r="K17" s="24" t="str">
        <f>IF(Tabela1[[#This Row],[Título da atividade]]="","",produto!$I$2)</f>
        <v>Twygo</v>
      </c>
      <c r="L17" s="6" t="str">
        <f>IF(Tabela1[[#This Row],[Título da atividade]]="","",IF(Tabela1[[#This Row],[Responsável]]&gt;0,Tabela1[[#This Row],[Responsável]],""))</f>
        <v/>
      </c>
    </row>
    <row r="18" spans="1:12" ht="105">
      <c r="A18" s="6">
        <f>IF(Tabela1[[#This Row],[Título da atividade]]="","",produto!$E$2)</f>
        <v>4874953</v>
      </c>
      <c r="B18" s="6">
        <f>IF(Tabela1[[#This Row],[Título da atividade]]="","",produto!$F$2)</f>
        <v>6368994</v>
      </c>
      <c r="C18" s="24" t="str">
        <f>IF(Tabela1[[#This Row],[Título da atividade]]="","",produto!$G$2)</f>
        <v>Não iniciado</v>
      </c>
      <c r="D18" s="24" t="str">
        <f>IF(Tabela1[[#This Row],[Tipo da atividade]]="","",Tabela1[[#This Row],[Tipo da atividade]])</f>
        <v>Desenvolvimento</v>
      </c>
      <c r="E18" s="26" t="str">
        <f>IF(Tabela1[[#This Row],[Título da atividade]]=""," ",_xlfn.CONCAT(produto!$D$2,"",Tabela1[[#This Row],[Título da atividade]]))</f>
        <v>[Widgets] Dev 3.1 - [Aba layout] Aplicar lib criada para o layout e criar aba</v>
      </c>
      <c r="F18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Criar aba layout.
* Integrar o componente do item 1.1 na tela de edição.
* O grid deve renderizar os itens baseados na tabela panel_widgets.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8" s="6">
        <f>IF(Tabela1[[#This Row],[Título da atividade]]="","",IF(Tabela1[[#This Row],[Esforço estimado]]&gt;0,Tabela1[[#This Row],[Esforço estimado]],""))</f>
        <v>2</v>
      </c>
      <c r="H18" s="28" t="str">
        <f>IF(Tabela1[[#This Row],[Título da atividade]]="","",IF(Tabela1[[#This Row],[Início estimado]]&gt;0,Tabela1[[#This Row],[Início estimado]],""))</f>
        <v/>
      </c>
      <c r="I18" s="28" t="str">
        <f>IF(Tabela1[[#This Row],[Título da atividade]]="","",IF(Tabela1[[#This Row],[Término estimado]]&gt;0,Tabela1[[#This Row],[Término estimado]],""))</f>
        <v/>
      </c>
      <c r="J18" s="24" t="str">
        <f>IF(Tabela1[[#This Row],[Título da atividade]]="","",produto!$H$2)</f>
        <v>Twygo</v>
      </c>
      <c r="K18" s="24" t="str">
        <f>IF(Tabela1[[#This Row],[Título da atividade]]="","",produto!$I$2)</f>
        <v>Twygo</v>
      </c>
      <c r="L18" s="6" t="str">
        <f>IF(Tabela1[[#This Row],[Título da atividade]]="","",IF(Tabela1[[#This Row],[Responsável]]&gt;0,Tabela1[[#This Row],[Responsável]],""))</f>
        <v/>
      </c>
    </row>
    <row r="19" spans="1:12" ht="105">
      <c r="A19" s="6">
        <f>IF(Tabela1[[#This Row],[Título da atividade]]="","",produto!$E$2)</f>
        <v>4874953</v>
      </c>
      <c r="B19" s="6">
        <f>IF(Tabela1[[#This Row],[Título da atividade]]="","",produto!$F$2)</f>
        <v>6368994</v>
      </c>
      <c r="C19" s="24" t="str">
        <f>IF(Tabela1[[#This Row],[Título da atividade]]="","",produto!$G$2)</f>
        <v>Não iniciado</v>
      </c>
      <c r="D19" s="24" t="str">
        <f>IF(Tabela1[[#This Row],[Tipo da atividade]]="","",Tabela1[[#This Row],[Tipo da atividade]])</f>
        <v>Desenvolvimento</v>
      </c>
      <c r="E19" s="26" t="str">
        <f>IF(Tabela1[[#This Row],[Título da atividade]]=""," ",_xlfn.CONCAT(produto!$D$2,"",Tabela1[[#This Row],[Título da atividade]]))</f>
        <v>[Widgets] Dev 3.2 - [Aba layout] Criar Widgets JSON no backend</v>
      </c>
      <c r="F19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Criar endpoint GET /api/widgets/catalog que retorna um array fixo de objetos
definindo os tipos disponíveis e configurações iniciais.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19" s="6">
        <f>IF(Tabela1[[#This Row],[Título da atividade]]="","",IF(Tabela1[[#This Row],[Esforço estimado]]&gt;0,Tabela1[[#This Row],[Esforço estimado]],""))</f>
        <v>6</v>
      </c>
      <c r="H19" s="28" t="str">
        <f>IF(Tabela1[[#This Row],[Título da atividade]]="","",IF(Tabela1[[#This Row],[Início estimado]]&gt;0,Tabela1[[#This Row],[Início estimado]],""))</f>
        <v/>
      </c>
      <c r="I19" s="28" t="str">
        <f>IF(Tabela1[[#This Row],[Título da atividade]]="","",IF(Tabela1[[#This Row],[Término estimado]]&gt;0,Tabela1[[#This Row],[Término estimado]],""))</f>
        <v/>
      </c>
      <c r="J19" s="24" t="str">
        <f>IF(Tabela1[[#This Row],[Título da atividade]]="","",produto!$H$2)</f>
        <v>Twygo</v>
      </c>
      <c r="K19" s="24" t="str">
        <f>IF(Tabela1[[#This Row],[Título da atividade]]="","",produto!$I$2)</f>
        <v>Twygo</v>
      </c>
      <c r="L19" s="6" t="str">
        <f>IF(Tabela1[[#This Row],[Título da atividade]]="","",IF(Tabela1[[#This Row],[Responsável]]&gt;0,Tabela1[[#This Row],[Responsável]],""))</f>
        <v/>
      </c>
    </row>
    <row r="20" spans="1:12" ht="120">
      <c r="A20" s="6">
        <f>IF(Tabela1[[#This Row],[Título da atividade]]="","",produto!$E$2)</f>
        <v>4874953</v>
      </c>
      <c r="B20" s="6">
        <f>IF(Tabela1[[#This Row],[Título da atividade]]="","",produto!$F$2)</f>
        <v>6368994</v>
      </c>
      <c r="C20" s="24" t="str">
        <f>IF(Tabela1[[#This Row],[Título da atividade]]="","",produto!$G$2)</f>
        <v>Não iniciado</v>
      </c>
      <c r="D20" s="24" t="str">
        <f>IF(Tabela1[[#This Row],[Tipo da atividade]]="","",Tabela1[[#This Row],[Tipo da atividade]])</f>
        <v>Desenvolvimento</v>
      </c>
      <c r="E20" s="26" t="str">
        <f>IF(Tabela1[[#This Row],[Título da atividade]]=""," ",_xlfn.CONCAT(produto!$D$2,"",Tabela1[[#This Row],[Título da atividade]]))</f>
        <v>[Widgets] Dev 3.3 - [Aba layout] Botão e Drawer de Widgets</v>
      </c>
      <c r="F20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Frontend: Criar botão e Drawer consumindo o endpoint do catálogo.
Ação: Ao clicar, dar push no array do estado local, calculando a próxima posição y.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0" s="6">
        <f>IF(Tabela1[[#This Row],[Título da atividade]]="","",IF(Tabela1[[#This Row],[Esforço estimado]]&gt;0,Tabela1[[#This Row],[Esforço estimado]],""))</f>
        <v>6</v>
      </c>
      <c r="H20" s="28" t="str">
        <f>IF(Tabela1[[#This Row],[Título da atividade]]="","",IF(Tabela1[[#This Row],[Início estimado]]&gt;0,Tabela1[[#This Row],[Início estimado]],""))</f>
        <v/>
      </c>
      <c r="I20" s="28" t="str">
        <f>IF(Tabela1[[#This Row],[Título da atividade]]="","",IF(Tabela1[[#This Row],[Término estimado]]&gt;0,Tabela1[[#This Row],[Término estimado]],""))</f>
        <v/>
      </c>
      <c r="J20" s="24" t="str">
        <f>IF(Tabela1[[#This Row],[Título da atividade]]="","",produto!$H$2)</f>
        <v>Twygo</v>
      </c>
      <c r="K20" s="24" t="str">
        <f>IF(Tabela1[[#This Row],[Título da atividade]]="","",produto!$I$2)</f>
        <v>Twygo</v>
      </c>
      <c r="L20" s="6" t="str">
        <f>IF(Tabela1[[#This Row],[Título da atividade]]="","",IF(Tabela1[[#This Row],[Responsável]]&gt;0,Tabela1[[#This Row],[Responsável]],""))</f>
        <v/>
      </c>
    </row>
    <row r="21" spans="1:12" ht="105">
      <c r="A21" s="6">
        <f>IF(Tabela1[[#This Row],[Título da atividade]]="","",produto!$E$2)</f>
        <v>4874953</v>
      </c>
      <c r="B21" s="6">
        <f>IF(Tabela1[[#This Row],[Título da atividade]]="","",produto!$F$2)</f>
        <v>6368994</v>
      </c>
      <c r="C21" s="24" t="str">
        <f>IF(Tabela1[[#This Row],[Título da atividade]]="","",produto!$G$2)</f>
        <v>Não iniciado</v>
      </c>
      <c r="D21" s="24" t="str">
        <f>IF(Tabela1[[#This Row],[Tipo da atividade]]="","",Tabela1[[#This Row],[Tipo da atividade]])</f>
        <v>Desenvolvimento</v>
      </c>
      <c r="E21" s="26" t="str">
        <f>IF(Tabela1[[#This Row],[Título da atividade]]=""," ",_xlfn.CONCAT(produto!$D$2,"",Tabela1[[#This Row],[Título da atividade]]))</f>
        <v>[Widgets] Dev 3.4 - [Aba layout] Permitir várias abas</v>
      </c>
      <c r="F21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#R6
* Criar barra de navegação de abas acima do grid.
* Implementar ações: Adicionar, Editar Nome, Excluir (bloquear se única) e Arrastar (Reordenar order_index).
* O clique na aba altera o contexto do grid para exibir apenas os widgets daquela aba.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1" s="6">
        <f>IF(Tabela1[[#This Row],[Título da atividade]]="","",IF(Tabela1[[#This Row],[Esforço estimado]]&gt;0,Tabela1[[#This Row],[Esforço estimado]],""))</f>
        <v>8</v>
      </c>
      <c r="H21" s="28" t="str">
        <f>IF(Tabela1[[#This Row],[Título da atividade]]="","",IF(Tabela1[[#This Row],[Início estimado]]&gt;0,Tabela1[[#This Row],[Início estimado]],""))</f>
        <v/>
      </c>
      <c r="I21" s="28" t="str">
        <f>IF(Tabela1[[#This Row],[Título da atividade]]="","",IF(Tabela1[[#This Row],[Término estimado]]&gt;0,Tabela1[[#This Row],[Término estimado]],""))</f>
        <v/>
      </c>
      <c r="J21" s="24" t="str">
        <f>IF(Tabela1[[#This Row],[Título da atividade]]="","",produto!$H$2)</f>
        <v>Twygo</v>
      </c>
      <c r="K21" s="24" t="str">
        <f>IF(Tabela1[[#This Row],[Título da atividade]]="","",produto!$I$2)</f>
        <v>Twygo</v>
      </c>
      <c r="L21" s="6" t="str">
        <f>IF(Tabela1[[#This Row],[Título da atividade]]="","",IF(Tabela1[[#This Row],[Responsável]]&gt;0,Tabela1[[#This Row],[Responsável]],""))</f>
        <v/>
      </c>
    </row>
    <row r="22" spans="1:12" ht="195">
      <c r="A22" s="6">
        <f>IF(Tabela1[[#This Row],[Título da atividade]]="","",produto!$E$2)</f>
        <v>4874953</v>
      </c>
      <c r="B22" s="6">
        <f>IF(Tabela1[[#This Row],[Título da atividade]]="","",produto!$F$2)</f>
        <v>6368994</v>
      </c>
      <c r="C22" s="24" t="str">
        <f>IF(Tabela1[[#This Row],[Título da atividade]]="","",produto!$G$2)</f>
        <v>Não iniciado</v>
      </c>
      <c r="D22" s="24" t="str">
        <f>IF(Tabela1[[#This Row],[Tipo da atividade]]="","",Tabela1[[#This Row],[Tipo da atividade]])</f>
        <v>Desenvolvimento</v>
      </c>
      <c r="E22" s="26" t="str">
        <f>IF(Tabela1[[#This Row],[Título da atividade]]=""," ",_xlfn.CONCAT(produto!$D$2,"",Tabela1[[#This Row],[Título da atividade]]))</f>
        <v>[Widgets] Dev 3.5 - [Aba layout] Botões de visualização desktop/mobile/tablet</v>
      </c>
      <c r="F22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Criar toolbar que altera a prop width do container do grid para simular 
breakpoints (ex: 1200px, 768px, 375px).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2" s="6">
        <f>IF(Tabela1[[#This Row],[Título da atividade]]="","",IF(Tabela1[[#This Row],[Esforço estimado]]&gt;0,Tabela1[[#This Row],[Esforço estimado]],""))</f>
        <v>4</v>
      </c>
      <c r="H22" s="28" t="str">
        <f>IF(Tabela1[[#This Row],[Título da atividade]]="","",IF(Tabela1[[#This Row],[Início estimado]]&gt;0,Tabela1[[#This Row],[Início estimado]],""))</f>
        <v/>
      </c>
      <c r="I22" s="28" t="str">
        <f>IF(Tabela1[[#This Row],[Título da atividade]]="","",IF(Tabela1[[#This Row],[Término estimado]]&gt;0,Tabela1[[#This Row],[Término estimado]],""))</f>
        <v/>
      </c>
      <c r="J22" s="24" t="str">
        <f>IF(Tabela1[[#This Row],[Título da atividade]]="","",produto!$H$2)</f>
        <v>Twygo</v>
      </c>
      <c r="K22" s="24" t="str">
        <f>IF(Tabela1[[#This Row],[Título da atividade]]="","",produto!$I$2)</f>
        <v>Twygo</v>
      </c>
      <c r="L22" s="6" t="str">
        <f>IF(Tabela1[[#This Row],[Título da atividade]]="","",IF(Tabela1[[#This Row],[Responsável]]&gt;0,Tabela1[[#This Row],[Responsável]],""))</f>
        <v/>
      </c>
    </row>
    <row r="23" spans="1:12" ht="105">
      <c r="A23" s="6">
        <f>IF(Tabela1[[#This Row],[Título da atividade]]="","",produto!$E$2)</f>
        <v>4874953</v>
      </c>
      <c r="B23" s="6">
        <f>IF(Tabela1[[#This Row],[Título da atividade]]="","",produto!$F$2)</f>
        <v>6368994</v>
      </c>
      <c r="C23" s="24" t="str">
        <f>IF(Tabela1[[#This Row],[Título da atividade]]="","",produto!$G$2)</f>
        <v>Não iniciado</v>
      </c>
      <c r="D23" s="24" t="str">
        <f>IF(Tabela1[[#This Row],[Tipo da atividade]]="","",Tabela1[[#This Row],[Tipo da atividade]])</f>
        <v>Desenvolvimento</v>
      </c>
      <c r="E23" s="26" t="str">
        <f>IF(Tabela1[[#This Row],[Título da atividade]]=""," ",_xlfn.CONCAT(produto!$D$2,"",Tabela1[[#This Row],[Título da atividade]]))</f>
        <v>[Widgets] Dev 3.6 - [Aba layout] Botão para permitir reorganizar widgets</v>
      </c>
      <c r="F23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Botão "Travar Layout": toggle nas props isDraggable e isResizable para testar a navegabilidade final.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3" s="6">
        <f>IF(Tabela1[[#This Row],[Título da atividade]]="","",IF(Tabela1[[#This Row],[Esforço estimado]]&gt;0,Tabela1[[#This Row],[Esforço estimado]],""))</f>
        <v>4</v>
      </c>
      <c r="H23" s="28" t="str">
        <f>IF(Tabela1[[#This Row],[Título da atividade]]="","",IF(Tabela1[[#This Row],[Início estimado]]&gt;0,Tabela1[[#This Row],[Início estimado]],""))</f>
        <v/>
      </c>
      <c r="I23" s="28" t="str">
        <f>IF(Tabela1[[#This Row],[Título da atividade]]="","",IF(Tabela1[[#This Row],[Término estimado]]&gt;0,Tabela1[[#This Row],[Término estimado]],""))</f>
        <v/>
      </c>
      <c r="J23" s="24" t="str">
        <f>IF(Tabela1[[#This Row],[Título da atividade]]="","",produto!$H$2)</f>
        <v>Twygo</v>
      </c>
      <c r="K23" s="24" t="str">
        <f>IF(Tabela1[[#This Row],[Título da atividade]]="","",produto!$I$2)</f>
        <v>Twygo</v>
      </c>
      <c r="L23" s="6" t="str">
        <f>IF(Tabela1[[#This Row],[Título da atividade]]="","",IF(Tabela1[[#This Row],[Responsável]]&gt;0,Tabela1[[#This Row],[Responsável]],""))</f>
        <v/>
      </c>
    </row>
    <row r="24" spans="1:12" ht="165">
      <c r="A24" s="6">
        <f>IF(Tabela1[[#This Row],[Título da atividade]]="","",produto!$E$2)</f>
        <v>4874953</v>
      </c>
      <c r="B24" s="6">
        <f>IF(Tabela1[[#This Row],[Título da atividade]]="","",produto!$F$2)</f>
        <v>6368994</v>
      </c>
      <c r="C24" s="24" t="str">
        <f>IF(Tabela1[[#This Row],[Título da atividade]]="","",produto!$G$2)</f>
        <v>Não iniciado</v>
      </c>
      <c r="D24" s="24" t="str">
        <f>IF(Tabela1[[#This Row],[Tipo da atividade]]="","",Tabela1[[#This Row],[Tipo da atividade]])</f>
        <v>Desenvolvimento</v>
      </c>
      <c r="E24" s="26" t="str">
        <f>IF(Tabela1[[#This Row],[Título da atividade]]=""," ",_xlfn.CONCAT(produto!$D$2,"",Tabela1[[#This Row],[Título da atividade]]))</f>
        <v>[Widgets] Dev 3.7 - [Aba layout] Edição e Exclusão de Widget</v>
      </c>
      <c r="F24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Drawer de edição de widget com campos do figma
* Ação de excluir no front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4" s="6">
        <f>IF(Tabela1[[#This Row],[Título da atividade]]="","",IF(Tabela1[[#This Row],[Esforço estimado]]&gt;0,Tabela1[[#This Row],[Esforço estimado]],""))</f>
        <v>6</v>
      </c>
      <c r="H24" s="28" t="str">
        <f>IF(Tabela1[[#This Row],[Título da atividade]]="","",IF(Tabela1[[#This Row],[Início estimado]]&gt;0,Tabela1[[#This Row],[Início estimado]],""))</f>
        <v/>
      </c>
      <c r="I24" s="28" t="str">
        <f>IF(Tabela1[[#This Row],[Título da atividade]]="","",IF(Tabela1[[#This Row],[Término estimado]]&gt;0,Tabela1[[#This Row],[Término estimado]],""))</f>
        <v/>
      </c>
      <c r="J24" s="24" t="str">
        <f>IF(Tabela1[[#This Row],[Título da atividade]]="","",produto!$H$2)</f>
        <v>Twygo</v>
      </c>
      <c r="K24" s="24" t="str">
        <f>IF(Tabela1[[#This Row],[Título da atividade]]="","",produto!$I$2)</f>
        <v>Twygo</v>
      </c>
      <c r="L24" s="6" t="str">
        <f>IF(Tabela1[[#This Row],[Título da atividade]]="","",IF(Tabela1[[#This Row],[Responsável]]&gt;0,Tabela1[[#This Row],[Responsável]],""))</f>
        <v/>
      </c>
    </row>
    <row r="25" spans="1:12" ht="60">
      <c r="A25" s="6">
        <f>IF(Tabela1[[#This Row],[Título da atividade]]="","",produto!$E$2)</f>
        <v>4874953</v>
      </c>
      <c r="B25" s="6">
        <f>IF(Tabela1[[#This Row],[Título da atividade]]="","",produto!$F$2)</f>
        <v>6368994</v>
      </c>
      <c r="C25" s="24" t="str">
        <f>IF(Tabela1[[#This Row],[Título da atividade]]="","",produto!$G$2)</f>
        <v>Não iniciado</v>
      </c>
      <c r="D25" s="24" t="str">
        <f>IF(Tabela1[[#This Row],[Tipo da atividade]]="","",Tabela1[[#This Row],[Tipo da atividade]])</f>
        <v>Desenvolvimento</v>
      </c>
      <c r="E25" s="26" t="str">
        <f>IF(Tabela1[[#This Row],[Título da atividade]]=""," ",_xlfn.CONCAT(produto!$D$2,"",Tabela1[[#This Row],[Título da atividade]]))</f>
        <v>[Widgets] Dev 3.8 - [Aba layout] Widget: Resumo das atividades (front)</v>
      </c>
      <c r="F25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Estratégia Geral: Todos os widgets devem trazer os dados que já trazem hoje.
WIDGETS DEVEM SER RESPONSÍVEIS E TER 3 TIPOS DE VISUALIZAÇÃO: DESKTOP, TABLET E MOBILE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5" s="6">
        <f>IF(Tabela1[[#This Row],[Título da atividade]]="","",IF(Tabela1[[#This Row],[Esforço estimado]]&gt;0,Tabela1[[#This Row],[Esforço estimado]],""))</f>
        <v>6</v>
      </c>
      <c r="H25" s="28" t="str">
        <f>IF(Tabela1[[#This Row],[Título da atividade]]="","",IF(Tabela1[[#This Row],[Início estimado]]&gt;0,Tabela1[[#This Row],[Início estimado]],""))</f>
        <v/>
      </c>
      <c r="I25" s="28" t="str">
        <f>IF(Tabela1[[#This Row],[Título da atividade]]="","",IF(Tabela1[[#This Row],[Término estimado]]&gt;0,Tabela1[[#This Row],[Término estimado]],""))</f>
        <v/>
      </c>
      <c r="J25" s="24" t="str">
        <f>IF(Tabela1[[#This Row],[Título da atividade]]="","",produto!$H$2)</f>
        <v>Twygo</v>
      </c>
      <c r="K25" s="24" t="str">
        <f>IF(Tabela1[[#This Row],[Título da atividade]]="","",produto!$I$2)</f>
        <v>Twygo</v>
      </c>
      <c r="L25" s="6" t="str">
        <f>IF(Tabela1[[#This Row],[Título da atividade]]="","",IF(Tabela1[[#This Row],[Responsável]]&gt;0,Tabela1[[#This Row],[Responsável]],""))</f>
        <v/>
      </c>
    </row>
    <row r="26" spans="1:12" ht="30">
      <c r="A26" s="6">
        <f>IF(Tabela1[[#This Row],[Título da atividade]]="","",produto!$E$2)</f>
        <v>4874953</v>
      </c>
      <c r="B26" s="6">
        <f>IF(Tabela1[[#This Row],[Título da atividade]]="","",produto!$F$2)</f>
        <v>6368994</v>
      </c>
      <c r="C26" s="24" t="str">
        <f>IF(Tabela1[[#This Row],[Título da atividade]]="","",produto!$G$2)</f>
        <v>Não iniciado</v>
      </c>
      <c r="D26" s="24" t="str">
        <f>IF(Tabela1[[#This Row],[Tipo da atividade]]="","",Tabela1[[#This Row],[Tipo da atividade]])</f>
        <v>Desenvolvimento</v>
      </c>
      <c r="E26" s="26" t="str">
        <f>IF(Tabela1[[#This Row],[Título da atividade]]=""," ",_xlfn.CONCAT(produto!$D$2,"",Tabela1[[#This Row],[Título da atividade]]))</f>
        <v>[Widgets] Dev 3.10 - [Aba layout] Widget: Conteúdos em andamento (front)</v>
      </c>
      <c r="F26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Estratégia Geral: Todos os widgets devem trazer os dados que já trazem hoje.
WIDGETS DEVEM SER RESPONSÍVEIS E TER 3 TIPOS DE VISUALIZAÇÃO: DESKTOP, TABLET E MOBILE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6" s="6">
        <f>IF(Tabela1[[#This Row],[Título da atividade]]="","",IF(Tabela1[[#This Row],[Esforço estimado]]&gt;0,Tabela1[[#This Row],[Esforço estimado]],""))</f>
        <v>6</v>
      </c>
      <c r="H26" s="28" t="str">
        <f>IF(Tabela1[[#This Row],[Título da atividade]]="","",IF(Tabela1[[#This Row],[Início estimado]]&gt;0,Tabela1[[#This Row],[Início estimado]],""))</f>
        <v/>
      </c>
      <c r="I26" s="28" t="str">
        <f>IF(Tabela1[[#This Row],[Título da atividade]]="","",IF(Tabela1[[#This Row],[Término estimado]]&gt;0,Tabela1[[#This Row],[Término estimado]],""))</f>
        <v/>
      </c>
      <c r="J26" s="24" t="str">
        <f>IF(Tabela1[[#This Row],[Título da atividade]]="","",produto!$H$2)</f>
        <v>Twygo</v>
      </c>
      <c r="K26" s="24" t="str">
        <f>IF(Tabela1[[#This Row],[Título da atividade]]="","",produto!$I$2)</f>
        <v>Twygo</v>
      </c>
      <c r="L26" s="6" t="str">
        <f>IF(Tabela1[[#This Row],[Título da atividade]]="","",IF(Tabela1[[#This Row],[Responsável]]&gt;0,Tabela1[[#This Row],[Responsável]],""))</f>
        <v/>
      </c>
    </row>
    <row r="27" spans="1:12" ht="30">
      <c r="A27" s="6">
        <f>IF(Tabela1[[#This Row],[Título da atividade]]="","",produto!$E$2)</f>
        <v>4874953</v>
      </c>
      <c r="B27" s="6">
        <f>IF(Tabela1[[#This Row],[Título da atividade]]="","",produto!$F$2)</f>
        <v>6368994</v>
      </c>
      <c r="C27" s="24" t="str">
        <f>IF(Tabela1[[#This Row],[Título da atividade]]="","",produto!$G$2)</f>
        <v>Não iniciado</v>
      </c>
      <c r="D27" s="24" t="str">
        <f>IF(Tabela1[[#This Row],[Tipo da atividade]]="","",Tabela1[[#This Row],[Tipo da atividade]])</f>
        <v>Desenvolvimento</v>
      </c>
      <c r="E27" s="26" t="str">
        <f>IF(Tabela1[[#This Row],[Título da atividade]]=""," ",_xlfn.CONCAT(produto!$D$2,"",Tabela1[[#This Row],[Título da atividade]]))</f>
        <v>[Widgets] Dev 3.12 - [Aba layout] Widget: Ranking (front)</v>
      </c>
      <c r="F27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Estratégia Geral: Todos os widgets devem trazer os dados que já trazem hoje.
WIDGETS DEVEM SER RESPONSÍVEIS E TER 3 TIPOS DE VISUALIZAÇÃO: DESKTOP, TABLET E MOBILE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7" s="6">
        <f>IF(Tabela1[[#This Row],[Título da atividade]]="","",IF(Tabela1[[#This Row],[Esforço estimado]]&gt;0,Tabela1[[#This Row],[Esforço estimado]],""))</f>
        <v>6</v>
      </c>
      <c r="H27" s="28" t="str">
        <f>IF(Tabela1[[#This Row],[Título da atividade]]="","",IF(Tabela1[[#This Row],[Início estimado]]&gt;0,Tabela1[[#This Row],[Início estimado]],""))</f>
        <v/>
      </c>
      <c r="I27" s="28" t="str">
        <f>IF(Tabela1[[#This Row],[Título da atividade]]="","",IF(Tabela1[[#This Row],[Término estimado]]&gt;0,Tabela1[[#This Row],[Término estimado]],""))</f>
        <v/>
      </c>
      <c r="J27" s="24" t="str">
        <f>IF(Tabela1[[#This Row],[Título da atividade]]="","",produto!$H$2)</f>
        <v>Twygo</v>
      </c>
      <c r="K27" s="24" t="str">
        <f>IF(Tabela1[[#This Row],[Título da atividade]]="","",produto!$I$2)</f>
        <v>Twygo</v>
      </c>
      <c r="L27" s="6" t="str">
        <f>IF(Tabela1[[#This Row],[Título da atividade]]="","",IF(Tabela1[[#This Row],[Responsável]]&gt;0,Tabela1[[#This Row],[Responsável]],""))</f>
        <v/>
      </c>
    </row>
    <row r="28" spans="1:12">
      <c r="A28" s="6">
        <f>IF(Tabela1[[#This Row],[Título da atividade]]="","",produto!$E$2)</f>
        <v>4874953</v>
      </c>
      <c r="B28" s="6">
        <f>IF(Tabela1[[#This Row],[Título da atividade]]="","",produto!$F$2)</f>
        <v>6368994</v>
      </c>
      <c r="C28" s="24" t="str">
        <f>IF(Tabela1[[#This Row],[Título da atividade]]="","",produto!$G$2)</f>
        <v>Não iniciado</v>
      </c>
      <c r="D28" s="24" t="str">
        <f>IF(Tabela1[[#This Row],[Tipo da atividade]]="","",Tabela1[[#This Row],[Tipo da atividade]])</f>
        <v>Desenvolvimento</v>
      </c>
      <c r="E28" s="26" t="str">
        <f>IF(Tabela1[[#This Row],[Título da atividade]]=""," ",_xlfn.CONCAT(produto!$D$2,"",Tabela1[[#This Row],[Título da atividade]]))</f>
        <v>[Widgets] Dev 3.14 - [Aba layout] Widget: Meus certificados (front)</v>
      </c>
      <c r="F28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Estratégia Geral: Todos os widgets devem trazer os dados que já trazem hoje.
WIDGETS DEVEM SER RESPONSÍVEIS E TER 3 TIPOS DE VISUALIZAÇÃO: DESKTOP, TABLET E MOBILE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8" s="6">
        <f>IF(Tabela1[[#This Row],[Título da atividade]]="","",IF(Tabela1[[#This Row],[Esforço estimado]]&gt;0,Tabela1[[#This Row],[Esforço estimado]],""))</f>
        <v>6</v>
      </c>
      <c r="H28" s="28" t="str">
        <f>IF(Tabela1[[#This Row],[Título da atividade]]="","",IF(Tabela1[[#This Row],[Início estimado]]&gt;0,Tabela1[[#This Row],[Início estimado]],""))</f>
        <v/>
      </c>
      <c r="I28" s="28" t="str">
        <f>IF(Tabela1[[#This Row],[Título da atividade]]="","",IF(Tabela1[[#This Row],[Término estimado]]&gt;0,Tabela1[[#This Row],[Término estimado]],""))</f>
        <v/>
      </c>
      <c r="J28" s="24" t="str">
        <f>IF(Tabela1[[#This Row],[Título da atividade]]="","",produto!$H$2)</f>
        <v>Twygo</v>
      </c>
      <c r="K28" s="24" t="str">
        <f>IF(Tabela1[[#This Row],[Título da atividade]]="","",produto!$I$2)</f>
        <v>Twygo</v>
      </c>
      <c r="L28" s="6" t="str">
        <f>IF(Tabela1[[#This Row],[Título da atividade]]="","",IF(Tabela1[[#This Row],[Responsável]]&gt;0,Tabela1[[#This Row],[Responsável]],""))</f>
        <v/>
      </c>
    </row>
    <row r="29" spans="1:12">
      <c r="A29" s="6">
        <f>IF(Tabela1[[#This Row],[Título da atividade]]="","",produto!$E$2)</f>
        <v>4874953</v>
      </c>
      <c r="B29" s="6">
        <f>IF(Tabela1[[#This Row],[Título da atividade]]="","",produto!$F$2)</f>
        <v>6368994</v>
      </c>
      <c r="C29" s="24" t="str">
        <f>IF(Tabela1[[#This Row],[Título da atividade]]="","",produto!$G$2)</f>
        <v>Não iniciado</v>
      </c>
      <c r="D29" s="24" t="str">
        <f>IF(Tabela1[[#This Row],[Tipo da atividade]]="","",Tabela1[[#This Row],[Tipo da atividade]])</f>
        <v>Desenvolvimento</v>
      </c>
      <c r="E29" s="26" t="str">
        <f>IF(Tabela1[[#This Row],[Título da atividade]]=""," ",_xlfn.CONCAT(produto!$D$2,"",Tabela1[[#This Row],[Título da atividade]]))</f>
        <v>[Widgets] Dev 3.16 - [Aba layout] Ação de salvar layout e carregar os dados do painel</v>
      </c>
      <c r="F29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Usar transação (ActiveRecord::Base.transaction).
* Estratégia: Atualizar Event -&gt; Sincronizar panel_tabs -&gt; Para cada aba, sincronizar panel_widgets (salvando layout_config).
* Também carregar dados do backend (rota show)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29" s="6">
        <f>IF(Tabela1[[#This Row],[Título da atividade]]="","",IF(Tabela1[[#This Row],[Esforço estimado]]&gt;0,Tabela1[[#This Row],[Esforço estimado]],""))</f>
        <v>10</v>
      </c>
      <c r="H29" s="28" t="str">
        <f>IF(Tabela1[[#This Row],[Título da atividade]]="","",IF(Tabela1[[#This Row],[Início estimado]]&gt;0,Tabela1[[#This Row],[Início estimado]],""))</f>
        <v/>
      </c>
      <c r="I29" s="28" t="str">
        <f>IF(Tabela1[[#This Row],[Título da atividade]]="","",IF(Tabela1[[#This Row],[Término estimado]]&gt;0,Tabela1[[#This Row],[Término estimado]],""))</f>
        <v/>
      </c>
      <c r="J29" s="24" t="str">
        <f>IF(Tabela1[[#This Row],[Título da atividade]]="","",produto!$H$2)</f>
        <v>Twygo</v>
      </c>
      <c r="K29" s="24" t="str">
        <f>IF(Tabela1[[#This Row],[Título da atividade]]="","",produto!$I$2)</f>
        <v>Twygo</v>
      </c>
      <c r="L29" s="6" t="str">
        <f>IF(Tabela1[[#This Row],[Título da atividade]]="","",IF(Tabela1[[#This Row],[Responsável]]&gt;0,Tabela1[[#This Row],[Responsável]],""))</f>
        <v/>
      </c>
    </row>
    <row r="30" spans="1:12">
      <c r="A30" s="6">
        <f>IF(Tabela1[[#This Row],[Título da atividade]]="","",produto!$E$2)</f>
        <v>4874953</v>
      </c>
      <c r="B30" s="6">
        <f>IF(Tabela1[[#This Row],[Título da atividade]]="","",produto!$F$2)</f>
        <v>6368994</v>
      </c>
      <c r="C30" s="24" t="str">
        <f>IF(Tabela1[[#This Row],[Título da atividade]]="","",produto!$G$2)</f>
        <v>Não iniciado</v>
      </c>
      <c r="D30" s="24" t="str">
        <f>IF(Tabela1[[#This Row],[Tipo da atividade]]="","",Tabela1[[#This Row],[Tipo da atividade]])</f>
        <v>Desenvolvimento</v>
      </c>
      <c r="E30" s="26" t="str">
        <f>IF(Tabela1[[#This Row],[Título da atividade]]=""," ",_xlfn.CONCAT(produto!$D$2,"",Tabela1[[#This Row],[Título da atividade]]))</f>
        <v>[Widgets] Dev 3.17 - [Aba layout] Gerar preview do painel</v>
      </c>
      <c r="F30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* Gerar preview seguindo a referência da geração de preview de página conforme a doc.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30" s="6">
        <f>IF(Tabela1[[#This Row],[Título da atividade]]="","",IF(Tabela1[[#This Row],[Esforço estimado]]&gt;0,Tabela1[[#This Row],[Esforço estimado]],""))</f>
        <v>6</v>
      </c>
      <c r="H30" s="28" t="str">
        <f>IF(Tabela1[[#This Row],[Título da atividade]]="","",IF(Tabela1[[#This Row],[Início estimado]]&gt;0,Tabela1[[#This Row],[Início estimado]],""))</f>
        <v/>
      </c>
      <c r="I30" s="28" t="str">
        <f>IF(Tabela1[[#This Row],[Título da atividade]]="","",IF(Tabela1[[#This Row],[Término estimado]]&gt;0,Tabela1[[#This Row],[Término estimado]],""))</f>
        <v/>
      </c>
      <c r="J30" s="24" t="str">
        <f>IF(Tabela1[[#This Row],[Título da atividade]]="","",produto!$H$2)</f>
        <v>Twygo</v>
      </c>
      <c r="K30" s="24" t="str">
        <f>IF(Tabela1[[#This Row],[Título da atividade]]="","",produto!$I$2)</f>
        <v>Twygo</v>
      </c>
      <c r="L30" s="6" t="str">
        <f>IF(Tabela1[[#This Row],[Título da atividade]]="","",IF(Tabela1[[#This Row],[Responsável]]&gt;0,Tabela1[[#This Row],[Responsável]],""))</f>
        <v/>
      </c>
    </row>
    <row r="31" spans="1:12" ht="375">
      <c r="A31" s="6">
        <f>IF(Tabela1[[#This Row],[Título da atividade]]="","",produto!$E$2)</f>
        <v>4874953</v>
      </c>
      <c r="B31" s="6">
        <f>IF(Tabela1[[#This Row],[Título da atividade]]="","",produto!$F$2)</f>
        <v>6368994</v>
      </c>
      <c r="C31" s="24" t="str">
        <f>IF(Tabela1[[#This Row],[Título da atividade]]="","",produto!$G$2)</f>
        <v>Não iniciado</v>
      </c>
      <c r="D31" s="24" t="str">
        <f>IF(Tabela1[[#This Row],[Tipo da atividade]]="","",Tabela1[[#This Row],[Tipo da atividade]])</f>
        <v>Desenvolvimento</v>
      </c>
      <c r="E31" s="26" t="str">
        <f>IF(Tabela1[[#This Row],[Título da atividade]]=""," ",_xlfn.CONCAT(produto!$D$2,"",Tabela1[[#This Row],[Título da atividade]]))</f>
        <v>[Widgets] Dev 3.18 - [Aba layout] Adicionar modal ao trocar de aba (deseja salvar alterações)</v>
      </c>
      <c r="F31" s="26" t="str">
        <f>IF(Tabela1[[#This Row],[Título da atividade]]="", "", IF(OR(Tabela1[[#This Row],[Tipo da atividade]]="Desenvolvimento", Tabela1[[#This Row],[Tipo da atividade]]="Execução de testes"), Tabela1[[#This Row],[Descrição]] &amp; REPT(CHAR(10),2) &amp; "Documentação: " &amp; CHAR(10) &amp; produto!$E$4 &amp; REPT(CHAR(10),2) &amp; "Protótipo: " &amp; CHAR(10) &amp; produto!$E$5, Tabela1[[#This Row],[Descrição]]))</f>
        <v>Utilizar lógica já existente e utilizada na tela de pacotes, para exibir modal
que verifica se o usuário tem alterações não salvas
Documentação: 
https://twygoead.sharepoint.com/:w:/s/Twygo-TeamHub-GPRODUTO/IQCEzNCeBOE5SaL4pPSCEk4zAXZmlGK5TisvlwGmmKVV2e0?e=K7kEuK
Análise técnica:
https://twygoead.sharepoint.com/:w:/r/sites/Twygo-TeamHub-GPRODUTO/_layouts/15/Doc.aspx?sourcedoc=%7B2C924C98-284F-4986-B343-E44A7EEDE34A%7D&amp;file=%5BAn%C3%A1lise%20t%C3%A9cnica%5D%20Pain%C3%A9is%20dos%20usu%C3%A1rios%20(widgets)%20CRIADO%20EM%2002-01-2026.docx&amp;action=default&amp;mobileredirect=true&amp;DefaultItemOpen=1
Protótipo: 
https://www.figma.com/make/mtD5lsjvipyXS2GxYGZEMi/Tela-de-meu-espa%C3%A7o-e-widgets-07-01-2026?fullscreen=1&amp;t=ykc17x3aG6WcRjXj-1</v>
      </c>
      <c r="G31" s="6">
        <f>IF(Tabela1[[#This Row],[Título da atividade]]="","",IF(Tabela1[[#This Row],[Esforço estimado]]&gt;0,Tabela1[[#This Row],[Esforço estimado]],""))</f>
        <v>3</v>
      </c>
      <c r="H31" s="28" t="str">
        <f>IF(Tabela1[[#This Row],[Título da atividade]]="","",IF(Tabela1[[#This Row],[Início estimado]]&gt;0,Tabela1[[#This Row],[Início estimado]],""))</f>
        <v/>
      </c>
      <c r="I31" s="28" t="str">
        <f>IF(Tabela1[[#This Row],[Título da atividade]]="","",IF(Tabela1[[#This Row],[Término estimado]]&gt;0,Tabela1[[#This Row],[Término estimado]],""))</f>
        <v/>
      </c>
      <c r="J31" s="24" t="str">
        <f>IF(Tabela1[[#This Row],[Título da atividade]]="","",produto!$H$2)</f>
        <v>Twygo</v>
      </c>
      <c r="K31" s="24" t="str">
        <f>IF(Tabela1[[#This Row],[Título da atividade]]="","",produto!$I$2)</f>
        <v>Twygo</v>
      </c>
      <c r="L31" s="6" t="str">
        <f>IF(Tabela1[[#This Row],[Título da atividade]]="","",IF(Tabela1[[#This Row],[Responsável]]&gt;0,Tabela1[[#This Row],[Responsável]],""))</f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eb9238-230c-4fe8-89a0-3a9d73b53dd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1BA87DF5D2FA4A99CD6715309BF425" ma:contentTypeVersion="15" ma:contentTypeDescription="Crie um novo documento." ma:contentTypeScope="" ma:versionID="d2d4cce11daba0a716e0bcc0ea60c7eb">
  <xsd:schema xmlns:xsd="http://www.w3.org/2001/XMLSchema" xmlns:xs="http://www.w3.org/2001/XMLSchema" xmlns:p="http://schemas.microsoft.com/office/2006/metadata/properties" xmlns:ns2="64eb9238-230c-4fe8-89a0-3a9d73b53ddc" xmlns:ns3="46ee27cc-b01e-4dfb-a17a-85b86442d300" targetNamespace="http://schemas.microsoft.com/office/2006/metadata/properties" ma:root="true" ma:fieldsID="97749ad7b69efbf6536eed6d792e232a" ns2:_="" ns3:_="">
    <xsd:import namespace="64eb9238-230c-4fe8-89a0-3a9d73b53ddc"/>
    <xsd:import namespace="46ee27cc-b01e-4dfb-a17a-85b86442d3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b9238-230c-4fe8-89a0-3a9d73b53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ec1a758-647a-4997-b834-9f48ba9e07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e27cc-b01e-4dfb-a17a-85b86442d30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DF8591-ACE9-407E-BA28-50FD755113CA}"/>
</file>

<file path=customXml/itemProps2.xml><?xml version="1.0" encoding="utf-8"?>
<ds:datastoreItem xmlns:ds="http://schemas.openxmlformats.org/officeDocument/2006/customXml" ds:itemID="{DF3B1A36-B6B9-426D-BB61-0E6991AF871B}"/>
</file>

<file path=customXml/itemProps3.xml><?xml version="1.0" encoding="utf-8"?>
<ds:datastoreItem xmlns:ds="http://schemas.openxmlformats.org/officeDocument/2006/customXml" ds:itemID="{C74B9308-C011-4A7B-9FB9-2282970477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VINIcius Coelho</cp:lastModifiedBy>
  <cp:revision/>
  <dcterms:created xsi:type="dcterms:W3CDTF">2026-01-26T14:16:39Z</dcterms:created>
  <dcterms:modified xsi:type="dcterms:W3CDTF">2026-04-23T17:31:29Z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0x010100CB1BA87DF5D2FA4A99CD6715309BF425</vt:lpwstr>
  </property>
  <property fmtid="{D5CDD505-2E9C-101B-9397-08002B2CF9AE}" pid="3" name="MediaServiceImageTags">
    <vt:lpwstr/>
  </property>
</Properties>
</file>